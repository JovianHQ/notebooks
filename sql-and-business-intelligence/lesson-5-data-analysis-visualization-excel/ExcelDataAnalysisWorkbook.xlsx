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queryTables/queryTable3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akashns/Desktop/"/>
    </mc:Choice>
  </mc:AlternateContent>
  <xr:revisionPtr revIDLastSave="0" documentId="13_ncr:1_{195768CB-F09C-D24B-BE3F-F38B2B1C2CFD}" xr6:coauthVersionLast="47" xr6:coauthVersionMax="47" xr10:uidLastSave="{00000000-0000-0000-0000-000000000000}"/>
  <bookViews>
    <workbookView xWindow="0" yWindow="500" windowWidth="35840" windowHeight="21900" firstSheet="5" activeTab="13" xr2:uid="{4D6D3311-67C5-2243-8047-51CD0338867D}"/>
  </bookViews>
  <sheets>
    <sheet name="Introduction" sheetId="1" r:id="rId1"/>
    <sheet name="Strings" sheetId="2" r:id="rId2"/>
    <sheet name="Formatting" sheetId="3" r:id="rId3"/>
    <sheet name="Arithmetic" sheetId="4" r:id="rId4"/>
    <sheet name="Fill Handle" sheetId="5" r:id="rId5"/>
    <sheet name="References" sheetId="6" r:id="rId6"/>
    <sheet name="Autofill" sheetId="7" r:id="rId7"/>
    <sheet name="Functions" sheetId="9" r:id="rId8"/>
    <sheet name="Date Functions" sheetId="11" r:id="rId9"/>
    <sheet name="VLOOKUP" sheetId="13" r:id="rId10"/>
    <sheet name="Covid Pivot Table" sheetId="15" r:id="rId11"/>
    <sheet name="Italy Covid Data" sheetId="8" r:id="rId12"/>
    <sheet name="Countries" sheetId="10" r:id="rId13"/>
    <sheet name="Charts" sheetId="16" r:id="rId14"/>
    <sheet name="Data Validation" sheetId="14" r:id="rId15"/>
  </sheets>
  <definedNames>
    <definedName name="_xlnm._FilterDatabase" localSheetId="11" hidden="1">'Italy Covid Data'!$A$1:$D$249</definedName>
    <definedName name="Iris" localSheetId="13">Charts!$A$18:$F$168</definedName>
    <definedName name="italy_covid_daywise" localSheetId="11">'Italy Covid Data'!$A$1:$D$249</definedName>
    <definedName name="locations" localSheetId="12">Countries!$A$1:$F$213</definedName>
  </definedNames>
  <calcPr calcId="181029"/>
  <pivotCaches>
    <pivotCache cacheId="5" r:id="rId1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49" i="8" l="1"/>
  <c r="E246" i="8"/>
  <c r="E245" i="8"/>
  <c r="E244" i="8"/>
  <c r="E243" i="8"/>
  <c r="E242" i="8"/>
  <c r="E239" i="8"/>
  <c r="E238" i="8"/>
  <c r="E136" i="8"/>
  <c r="E133" i="8"/>
  <c r="E132" i="8"/>
  <c r="E131" i="8"/>
  <c r="E130" i="8"/>
  <c r="E129" i="8"/>
  <c r="E128" i="8"/>
  <c r="E127" i="8"/>
  <c r="E126" i="8"/>
  <c r="E125" i="8"/>
  <c r="E124" i="8"/>
  <c r="E123" i="8"/>
  <c r="E122" i="8"/>
  <c r="E121" i="8"/>
  <c r="E120" i="8"/>
  <c r="E119" i="8"/>
  <c r="E118" i="8"/>
  <c r="E117" i="8"/>
  <c r="E116" i="8"/>
  <c r="E115" i="8"/>
  <c r="E114" i="8"/>
  <c r="E113" i="8"/>
  <c r="E112" i="8"/>
  <c r="E111" i="8"/>
  <c r="E110" i="8"/>
  <c r="E109" i="8"/>
  <c r="E108" i="8"/>
  <c r="E107" i="8"/>
  <c r="E106" i="8"/>
  <c r="E105" i="8"/>
  <c r="E104" i="8"/>
  <c r="E103" i="8"/>
  <c r="E102" i="8"/>
  <c r="E101" i="8"/>
  <c r="E100" i="8"/>
  <c r="E99" i="8"/>
  <c r="E98" i="8"/>
  <c r="E97" i="8"/>
  <c r="E96" i="8"/>
  <c r="E95" i="8"/>
  <c r="E94" i="8"/>
  <c r="E93" i="8"/>
  <c r="E92" i="8"/>
  <c r="E91" i="8"/>
  <c r="E90" i="8"/>
  <c r="E89" i="8"/>
  <c r="E88" i="8"/>
  <c r="E87" i="8"/>
  <c r="E86" i="8"/>
  <c r="E85" i="8"/>
  <c r="E84" i="8"/>
  <c r="E83" i="8"/>
  <c r="E82" i="8"/>
  <c r="E81" i="8"/>
  <c r="E80" i="8"/>
  <c r="E79" i="8"/>
  <c r="E78" i="8"/>
  <c r="E77" i="8"/>
  <c r="E76" i="8"/>
  <c r="E75" i="8"/>
  <c r="E74" i="8"/>
  <c r="E72" i="8"/>
  <c r="E71" i="8"/>
  <c r="E70" i="8"/>
  <c r="G3" i="13"/>
  <c r="C5" i="5"/>
  <c r="C3" i="5"/>
  <c r="C4" i="5"/>
  <c r="C6" i="5"/>
  <c r="C2" i="5"/>
  <c r="D7" i="4"/>
  <c r="D6" i="4"/>
  <c r="D5" i="4"/>
  <c r="D4" i="4"/>
  <c r="D3" i="4"/>
  <c r="D2" i="4"/>
  <c r="D1" i="4"/>
  <c r="D3" i="3"/>
  <c r="C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4E9AE8B-F3D9-6B46-901B-F9844114306E}" name="Iris" type="6" refreshedVersion="7" background="1" saveData="1">
    <textPr codePage="10000" sourceFile="/Users/aakashns/Desktop/Iris.csv" tab="0" comma="1">
      <textFields count="6">
        <textField/>
        <textField/>
        <textField/>
        <textField/>
        <textField/>
        <textField/>
      </textFields>
    </textPr>
  </connection>
  <connection id="2" xr16:uid="{ADC6B675-901D-6F4D-BC4E-F1BB6C579C7B}" name="italy-covid-daywise" type="6" refreshedVersion="7" background="1" saveData="1">
    <textPr codePage="10000" sourceFile="/Users/aakashns/Desktop/italy-covid-daywise.csv" tab="0" comma="1">
      <textFields count="4">
        <textField type="MDY"/>
        <textField/>
        <textField/>
        <textField/>
      </textFields>
    </textPr>
  </connection>
  <connection id="3" xr16:uid="{79284B67-22D0-2749-A546-10747A8950F4}" name="locations" type="6" refreshedVersion="7" background="1" saveData="1">
    <textPr codePage="10000" sourceFile="/Users/aakashns/Desktop/locations.csv" tab="0" comma="1">
      <textFields count="6"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<sst xmlns="http://schemas.openxmlformats.org/spreadsheetml/2006/main" count="570" uniqueCount="326">
  <si>
    <t>Amount</t>
  </si>
  <si>
    <t>Rate</t>
  </si>
  <si>
    <t>Interest</t>
  </si>
  <si>
    <t>Is this the real life, or is it fantasy?</t>
  </si>
  <si>
    <t>Overlfow</t>
  </si>
  <si>
    <t>Clipping</t>
  </si>
  <si>
    <t>Wrapping</t>
  </si>
  <si>
    <t>Add</t>
  </si>
  <si>
    <t>Subtract</t>
  </si>
  <si>
    <t>Multiply</t>
  </si>
  <si>
    <t>Divide</t>
  </si>
  <si>
    <t>Percent</t>
  </si>
  <si>
    <t>Power</t>
  </si>
  <si>
    <t>Root</t>
  </si>
  <si>
    <t>Absolute</t>
  </si>
  <si>
    <t>Relative</t>
  </si>
  <si>
    <t>Mixed</t>
  </si>
  <si>
    <t>Monday</t>
  </si>
  <si>
    <t>Tuesday</t>
  </si>
  <si>
    <t>Wednesday</t>
  </si>
  <si>
    <t>Jan</t>
  </si>
  <si>
    <t>Feb</t>
  </si>
  <si>
    <t>Mar</t>
  </si>
  <si>
    <t>A</t>
  </si>
  <si>
    <t>B</t>
  </si>
  <si>
    <t>Apple</t>
  </si>
  <si>
    <t>Banana</t>
  </si>
  <si>
    <t>Carrot</t>
  </si>
  <si>
    <t>C</t>
  </si>
  <si>
    <t>Select the first 3 values and drag the fill handle to complete each of the following series</t>
  </si>
  <si>
    <t>Horizontal Series Completion</t>
  </si>
  <si>
    <t>Date</t>
  </si>
  <si>
    <t>New Cases</t>
  </si>
  <si>
    <t>New Deaths</t>
  </si>
  <si>
    <t>New Tests</t>
  </si>
  <si>
    <t>Student</t>
  </si>
  <si>
    <t>Grade</t>
  </si>
  <si>
    <t>Score</t>
  </si>
  <si>
    <t>F</t>
  </si>
  <si>
    <t>D</t>
  </si>
  <si>
    <t>Result</t>
  </si>
  <si>
    <t>Passed</t>
  </si>
  <si>
    <t>Aakash N S</t>
  </si>
  <si>
    <t>Biraj De</t>
  </si>
  <si>
    <t>Siddhant Ujjain</t>
  </si>
  <si>
    <t>Vishal Gupta</t>
  </si>
  <si>
    <t>Hemanth Janesh</t>
  </si>
  <si>
    <t>Date of Birth</t>
  </si>
  <si>
    <t>Name</t>
  </si>
  <si>
    <t>Year</t>
  </si>
  <si>
    <t>Month</t>
  </si>
  <si>
    <t>Day</t>
  </si>
  <si>
    <t>Weekday</t>
  </si>
  <si>
    <t>Alan</t>
  </si>
  <si>
    <t>Sherlock</t>
  </si>
  <si>
    <t>David</t>
  </si>
  <si>
    <t>Gotham</t>
  </si>
  <si>
    <t>Shirley</t>
  </si>
  <si>
    <t>Location</t>
  </si>
  <si>
    <t>ID</t>
  </si>
  <si>
    <t>Math</t>
  </si>
  <si>
    <t>Chemistry</t>
  </si>
  <si>
    <t>A1001</t>
  </si>
  <si>
    <t>A1002</t>
  </si>
  <si>
    <t>B1003</t>
  </si>
  <si>
    <t>C1004</t>
  </si>
  <si>
    <t>C1005</t>
  </si>
  <si>
    <t>D1006</t>
  </si>
  <si>
    <t>Emily</t>
  </si>
  <si>
    <t>James</t>
  </si>
  <si>
    <t>Nicol</t>
  </si>
  <si>
    <t>Hedy</t>
  </si>
  <si>
    <t>Mario</t>
  </si>
  <si>
    <t>Akash</t>
  </si>
  <si>
    <t>Afghanistan</t>
  </si>
  <si>
    <t>Asia</t>
  </si>
  <si>
    <t>Albania</t>
  </si>
  <si>
    <t>Europe</t>
  </si>
  <si>
    <t>Algeria</t>
  </si>
  <si>
    <t>Africa</t>
  </si>
  <si>
    <t>Andorra</t>
  </si>
  <si>
    <t>Angola</t>
  </si>
  <si>
    <t>Anguilla</t>
  </si>
  <si>
    <t>North America</t>
  </si>
  <si>
    <t>Antigua and Barbuda</t>
  </si>
  <si>
    <t>Argentina</t>
  </si>
  <si>
    <t>South America</t>
  </si>
  <si>
    <t>Armenia</t>
  </si>
  <si>
    <t>Aruba</t>
  </si>
  <si>
    <t>Australia</t>
  </si>
  <si>
    <t>Oceania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</si>
  <si>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</si>
  <si>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</si>
  <si>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</si>
  <si>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</si>
  <si>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</si>
  <si>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</si>
  <si>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</si>
  <si>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</si>
  <si>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</si>
  <si>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</si>
  <si>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</si>
  <si>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</si>
  <si>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</si>
  <si>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Bonaire Sint Eustatius and Saba</t>
  </si>
  <si>
    <t>Bosnia and Herzegovina</t>
  </si>
  <si>
    <t>Botswana</t>
  </si>
  <si>
    <t>Brazil</t>
  </si>
  <si>
    <t>British Virgin Islands</t>
  </si>
  <si>
    <t>Brunei</t>
  </si>
  <si>
    <t>Bulgaria</t>
  </si>
  <si>
    <t>Burkina Faso</t>
  </si>
  <si>
    <t>Burundi</t>
  </si>
  <si>
    <t>Cambodia</t>
  </si>
  <si>
    <t>Cameroon</t>
  </si>
  <si>
    <t>Canada</t>
  </si>
  <si>
    <t>Cape Verde</t>
  </si>
  <si>
    <t>Cayman Islands</t>
  </si>
  <si>
    <t>Central African Republic</t>
  </si>
  <si>
    <t>Chad</t>
  </si>
  <si>
    <t>Chile</t>
  </si>
  <si>
    <t>China</t>
  </si>
  <si>
    <t>Colombia</t>
  </si>
  <si>
    <t>Comoros</t>
  </si>
  <si>
    <t>Congo</t>
  </si>
  <si>
    <t>Costa Rica</t>
  </si>
  <si>
    <t>Cote d'Ivoire</t>
  </si>
  <si>
    <t>Croatia</t>
  </si>
  <si>
    <t>Cuba</t>
  </si>
  <si>
    <t>Curacao</t>
  </si>
  <si>
    <t>Cyprus</t>
  </si>
  <si>
    <t>Czech Republic</t>
  </si>
  <si>
    <t>Democratic Republic of Congo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</si>
  <si>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</si>
  <si>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</si>
  <si>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</si>
  <si>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</si>
  <si>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</si>
  <si>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</si>
  <si>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</si>
  <si>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</si>
  <si>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</si>
  <si>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</si>
  <si>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Ethiopia</t>
  </si>
  <si>
    <t>Faeroe Islands</t>
  </si>
  <si>
    <t>Falkland Islands</t>
  </si>
  <si>
    <t>Fiji</t>
  </si>
  <si>
    <t>Finland</t>
  </si>
  <si>
    <t>France</t>
  </si>
  <si>
    <t>French Polynesia</t>
  </si>
  <si>
    <t>Gabon</t>
  </si>
  <si>
    <t>Gambia</t>
  </si>
  <si>
    <t>Georgia</t>
  </si>
  <si>
    <t>Germany</t>
  </si>
  <si>
    <t>Ghana</t>
  </si>
  <si>
    <t>Gibraltar</t>
  </si>
  <si>
    <t>Greece</t>
  </si>
  <si>
    <t>Greenland</t>
  </si>
  <si>
    <t>Grenada</t>
  </si>
  <si>
    <t>Guam</t>
  </si>
  <si>
    <t>Guatemala</t>
  </si>
  <si>
    <t>Guernsey</t>
  </si>
  <si>
    <t>Guinea</t>
  </si>
  <si>
    <t>Guinea-Bissau</t>
  </si>
  <si>
    <t>Guyana</t>
  </si>
  <si>
    <t>Haiti</t>
  </si>
  <si>
    <t>Honduras</t>
  </si>
  <si>
    <t>Hong Kong</t>
  </si>
  <si>
    <t>Hungary</t>
  </si>
  <si>
    <t>Iceland</t>
  </si>
  <si>
    <t>India</t>
  </si>
  <si>
    <t>Indonesia</t>
  </si>
  <si>
    <t>Iran</t>
  </si>
  <si>
    <t>Iraq</t>
  </si>
  <si>
    <t>Ireland</t>
  </si>
  <si>
    <t>Isle of Man</t>
  </si>
  <si>
    <t>Israel</t>
  </si>
  <si>
    <t>Italy</t>
  </si>
  <si>
    <t>Jamaica</t>
  </si>
  <si>
    <t>Japan</t>
  </si>
  <si>
    <t>Jersey</t>
  </si>
  <si>
    <t>Jordan</t>
  </si>
  <si>
    <t>Kazakhstan</t>
  </si>
  <si>
    <t>Kenya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</si>
  <si>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</si>
  <si>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</si>
  <si>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</si>
  <si>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</si>
  <si>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</si>
  <si>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</si>
  <si>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</si>
  <si>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</si>
  <si>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</si>
  <si>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</si>
  <si>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</si>
  <si>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</si>
  <si>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Macedonia</t>
  </si>
  <si>
    <t>Madagascar</t>
  </si>
  <si>
    <t>Malawi</t>
  </si>
  <si>
    <t>Malaysia</t>
  </si>
  <si>
    <t>Maldives</t>
  </si>
  <si>
    <t>Mali</t>
  </si>
  <si>
    <t>Malta</t>
  </si>
  <si>
    <t>Mauritania</t>
  </si>
  <si>
    <t>Mauritius</t>
  </si>
  <si>
    <t>Mexico</t>
  </si>
  <si>
    <t>Moldova</t>
  </si>
  <si>
    <t>Monaco</t>
  </si>
  <si>
    <t>Mongolia</t>
  </si>
  <si>
    <t>Montenegro</t>
  </si>
  <si>
    <t>Montserrat</t>
  </si>
  <si>
    <t>Morocco</t>
  </si>
  <si>
    <t>Mozambique</t>
  </si>
  <si>
    <t>Myanmar</t>
  </si>
  <si>
    <t>Namibia</t>
  </si>
  <si>
    <t>Nepal</t>
  </si>
  <si>
    <t>Netherlands</t>
  </si>
  <si>
    <t>New Caledonia</t>
  </si>
  <si>
    <t>New Zealand</t>
  </si>
  <si>
    <t>Nicaragua</t>
  </si>
  <si>
    <t>Niger</t>
  </si>
  <si>
    <t>Nigeria</t>
  </si>
  <si>
    <t>Northern Mariana Islands</t>
  </si>
  <si>
    <t>Norway</t>
  </si>
  <si>
    <t>Oman</t>
  </si>
  <si>
    <t>Pakistan</t>
  </si>
  <si>
    <t>Palestine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</si>
  <si>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</si>
  <si>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</si>
  <si>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</si>
  <si>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</si>
  <si>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</si>
  <si>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</si>
  <si>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</si>
  <si>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</si>
  <si>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Qatar</t>
  </si>
  <si>
    <t>Romania</t>
  </si>
  <si>
    <t>Russia</t>
  </si>
  <si>
    <t>Rwanda</t>
  </si>
  <si>
    <t>Saint Kitts and Nevis</t>
  </si>
  <si>
    <t>Saint Lucia</t>
  </si>
  <si>
    <t>Saint Vincent and the Grenadines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</si>
  <si>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</si>
  <si>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</si>
  <si>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</si>
  <si>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</si>
  <si>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</si>
  <si>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</si>
  <si>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</si>
  <si>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</si>
  <si>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 (Dutch part)</t>
  </si>
  <si>
    <t>Slovakia</t>
  </si>
  <si>
    <t>Slovenia</t>
  </si>
  <si>
    <t>Somalia</t>
  </si>
  <si>
    <t>South Africa</t>
  </si>
  <si>
    <t>South Korea</t>
  </si>
  <si>
    <t>South Sudan</t>
  </si>
  <si>
    <t>Spain</t>
  </si>
  <si>
    <t>Sri Lanka</t>
  </si>
  <si>
    <t>Sudan</t>
  </si>
  <si>
    <t>Suriname</t>
  </si>
  <si>
    <t>Swaziland</t>
  </si>
  <si>
    <t>Sweden</t>
  </si>
  <si>
    <t>Switzerland</t>
  </si>
  <si>
    <t>Syria</t>
  </si>
  <si>
    <t>Taiwan</t>
  </si>
  <si>
    <t>Tajikistan</t>
  </si>
  <si>
    <t>Tanzania</t>
  </si>
  <si>
    <t>Thailand</t>
  </si>
  <si>
    <t>Timor</t>
  </si>
  <si>
    <t>Togo</t>
  </si>
  <si>
    <t>Trinidad and Tobago</t>
  </si>
  <si>
    <t>Tunisia</t>
  </si>
  <si>
    <t>Turkey</t>
  </si>
  <si>
    <t>Turks and Caicos Islands</t>
  </si>
  <si>
    <t>Uganda</t>
  </si>
  <si>
    <t>Ukraine</t>
  </si>
  <si>
    <t>United Arab Emirates</t>
  </si>
  <si>
    <t>United Kingdom</t>
  </si>
  <si>
    <t>United States</t>
  </si>
  <si>
    <t>United States Virgin Islands</t>
  </si>
  <si>
    <t>Uruguay</t>
  </si>
  <si>
    <t>Uzbekistan</t>
  </si>
  <si>
    <t>Vatican</t>
  </si>
  <si>
    <t>Venezuela</t>
  </si>
  <si>
    <t>Vietnam</t>
  </si>
  <si>
    <t>Western Sahara</t>
  </si>
  <si>
    <t>Yemen</t>
  </si>
  <si>
    <t>Zambia</t>
  </si>
  <si>
    <t>Zimbabwe</t>
  </si>
  <si>
    <t>World</t>
  </si>
  <si>
    <t>International</t>
  </si>
  <si>
    <t>Continent</t>
  </si>
  <si>
    <t>Population</t>
  </si>
  <si>
    <t>Life Expectancy</t>
  </si>
  <si>
    <t>Hospital Beds (per 1000 people)</t>
  </si>
  <si>
    <t>GDP Per Capita ($)</t>
  </si>
  <si>
    <t>Names</t>
  </si>
  <si>
    <t>John Burnett</t>
  </si>
  <si>
    <t>Sally Jenkins</t>
  </si>
  <si>
    <t>Carly Fisher</t>
  </si>
  <si>
    <t>Freddie Collins</t>
  </si>
  <si>
    <t>Susan Hill</t>
  </si>
  <si>
    <t>Users</t>
  </si>
  <si>
    <t>(blank)</t>
  </si>
  <si>
    <t>Grand Total</t>
  </si>
  <si>
    <t>Sum of New Cases</t>
  </si>
  <si>
    <t>Sum of New Deaths</t>
  </si>
  <si>
    <t>Sum of New Tests</t>
  </si>
  <si>
    <t>Apples (tons/ha)</t>
  </si>
  <si>
    <t>Oranges (tons/ha)</t>
  </si>
  <si>
    <t>Species</t>
  </si>
  <si>
    <t>setosa</t>
  </si>
  <si>
    <t>versicolor</t>
  </si>
  <si>
    <t>virginica</t>
  </si>
  <si>
    <t>Sepal Length</t>
  </si>
  <si>
    <t>Sepal Width</t>
  </si>
  <si>
    <t>Petal Length</t>
  </si>
  <si>
    <t>Petal Width</t>
  </si>
  <si>
    <t>Category</t>
  </si>
  <si>
    <t>In Store Sales</t>
  </si>
  <si>
    <t>Website Sales</t>
  </si>
  <si>
    <t>Toys</t>
  </si>
  <si>
    <t>Shoes</t>
  </si>
  <si>
    <t>Laptops</t>
  </si>
  <si>
    <t>Mailorder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</si>
</sst>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172" formatCode="[$-409]d\-mmm\-yy;@"/>
  </numFmts>
  <fonts count="6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B050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0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0" xfId="0" applyFont="1"/>
    <xf numFmtId="0" fontId="0" fillId="0" borderId="0" xfId="0" applyFont="1"/>
    <xf numFmtId="6" fontId="0" fillId="0" borderId="0" xfId="0" applyNumberFormat="1"/>
    <xf numFmtId="9" fontId="0" fillId="0" borderId="0" xfId="0" applyNumberFormat="1"/>
    <xf numFmtId="6" fontId="0" fillId="0" borderId="1" xfId="0" applyNumberFormat="1" applyBorder="1"/>
    <xf numFmtId="6" fontId="0" fillId="0" borderId="2" xfId="0" applyNumberFormat="1" applyBorder="1"/>
    <xf numFmtId="9" fontId="1" fillId="0" borderId="4" xfId="0" applyNumberFormat="1" applyFont="1" applyBorder="1"/>
    <xf numFmtId="9" fontId="1" fillId="0" borderId="5" xfId="0" applyNumberFormat="1" applyFont="1" applyBorder="1"/>
    <xf numFmtId="0" fontId="4" fillId="0" borderId="0" xfId="0" applyFont="1"/>
    <xf numFmtId="0" fontId="4" fillId="0" borderId="0" xfId="0" applyFont="1" applyAlignment="1">
      <alignment wrapText="1"/>
    </xf>
    <xf numFmtId="6" fontId="3" fillId="0" borderId="7" xfId="0" applyNumberFormat="1" applyFont="1" applyBorder="1"/>
    <xf numFmtId="6" fontId="3" fillId="0" borderId="8" xfId="0" applyNumberFormat="1" applyFont="1" applyBorder="1"/>
    <xf numFmtId="0" fontId="2" fillId="2" borderId="6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6" fontId="4" fillId="0" borderId="0" xfId="0" applyNumberFormat="1" applyFont="1"/>
    <xf numFmtId="9" fontId="4" fillId="0" borderId="0" xfId="0" applyNumberFormat="1" applyFont="1"/>
    <xf numFmtId="17" fontId="0" fillId="0" borderId="0" xfId="0" applyNumberFormat="1"/>
    <xf numFmtId="18" fontId="0" fillId="0" borderId="0" xfId="0" applyNumberFormat="1"/>
    <xf numFmtId="14" fontId="0" fillId="0" borderId="0" xfId="0" applyNumberFormat="1"/>
    <xf numFmtId="15" fontId="0" fillId="0" borderId="0" xfId="0" applyNumberFormat="1"/>
    <xf numFmtId="172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onnections" Target="connection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Crop</a:t>
            </a:r>
            <a:r>
              <a:rPr lang="en-US" baseline="0"/>
              <a:t> Yields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Charts!$B$1</c:f>
              <c:strCache>
                <c:ptCount val="1"/>
                <c:pt idx="0">
                  <c:v>Apples (tons/ha)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Charts!$A$2:$A$13</c:f>
              <c:numCache>
                <c:formatCode>General</c:formatCode>
                <c:ptCount val="12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</c:numCache>
            </c:numRef>
          </c:cat>
          <c:val>
            <c:numRef>
              <c:f>Charts!$B$2:$B$13</c:f>
              <c:numCache>
                <c:formatCode>General</c:formatCode>
                <c:ptCount val="12"/>
                <c:pt idx="0">
                  <c:v>0.89500000000000002</c:v>
                </c:pt>
                <c:pt idx="1">
                  <c:v>0.91</c:v>
                </c:pt>
                <c:pt idx="2">
                  <c:v>0.91900000000000004</c:v>
                </c:pt>
                <c:pt idx="3">
                  <c:v>0.92600000000000005</c:v>
                </c:pt>
                <c:pt idx="4">
                  <c:v>0.92900000000000005</c:v>
                </c:pt>
                <c:pt idx="5">
                  <c:v>0.93100000000000005</c:v>
                </c:pt>
                <c:pt idx="6">
                  <c:v>0.93400000000000005</c:v>
                </c:pt>
                <c:pt idx="7">
                  <c:v>0.93600000000000005</c:v>
                </c:pt>
                <c:pt idx="8">
                  <c:v>0.93700000000000006</c:v>
                </c:pt>
                <c:pt idx="9">
                  <c:v>0.9375</c:v>
                </c:pt>
                <c:pt idx="10">
                  <c:v>0.93720000000000003</c:v>
                </c:pt>
                <c:pt idx="11">
                  <c:v>0.93899999999999995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9A-C24B-9AEB-019122804E42}"/>
            </c:ext>
          </c:extLst>
        </c:ser>
        <c:ser>
          <c:idx val="1"/>
          <c:order val="1"/>
          <c:tx>
            <c:strRef>
              <c:f>Charts!$C$1</c:f>
              <c:strCache>
                <c:ptCount val="1"/>
                <c:pt idx="0">
                  <c:v>Oranges (tons/ha)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Charts!$A$2:$A$13</c:f>
              <c:numCache>
                <c:formatCode>General</c:formatCode>
                <c:ptCount val="12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</c:numCache>
            </c:numRef>
          </c:cat>
          <c:val>
            <c:numRef>
              <c:f>Charts!$C$2:$C$13</c:f>
              <c:numCache>
                <c:formatCode>General</c:formatCode>
                <c:ptCount val="12"/>
                <c:pt idx="0">
                  <c:v>0.96199999999999997</c:v>
                </c:pt>
                <c:pt idx="1">
                  <c:v>0.94099999999999995</c:v>
                </c:pt>
                <c:pt idx="2">
                  <c:v>0.93</c:v>
                </c:pt>
                <c:pt idx="3">
                  <c:v>0.93200000000000005</c:v>
                </c:pt>
                <c:pt idx="4">
                  <c:v>0.91800000000000004</c:v>
                </c:pt>
                <c:pt idx="5">
                  <c:v>0.90800000000000003</c:v>
                </c:pt>
                <c:pt idx="6">
                  <c:v>0.90700000000000003</c:v>
                </c:pt>
                <c:pt idx="7">
                  <c:v>0.90400000000000003</c:v>
                </c:pt>
                <c:pt idx="8">
                  <c:v>0.90100000000000002</c:v>
                </c:pt>
                <c:pt idx="9">
                  <c:v>0.89800000000000002</c:v>
                </c:pt>
                <c:pt idx="10">
                  <c:v>0.9</c:v>
                </c:pt>
                <c:pt idx="11">
                  <c:v>0.89600000000000002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D9A-C24B-9AEB-019122804E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49483519"/>
        <c:axId val="1149681663"/>
      </c:lineChart>
      <c:catAx>
        <c:axId val="11494835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9681663"/>
        <c:crosses val="autoZero"/>
        <c:auto val="1"/>
        <c:lblAlgn val="ctr"/>
        <c:lblOffset val="100"/>
        <c:noMultiLvlLbl val="0"/>
      </c:catAx>
      <c:valAx>
        <c:axId val="1149681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Yield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9483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Sepal Length vs. Sepal Width</c:v>
          </c:tx>
          <c:spPr>
            <a:ln w="25400" cap="flat" cmpd="dbl" algn="ctr">
              <a:noFill/>
              <a:round/>
            </a:ln>
            <a:effectLst/>
          </c:spPr>
          <c:marker>
            <c:symbol val="circle"/>
            <c:size val="6"/>
            <c:spPr>
              <a:noFill/>
              <a:ln w="34925" cap="flat" cmpd="dbl" algn="ctr">
                <a:solidFill>
                  <a:schemeClr val="accent1">
                    <a:lumMod val="75000"/>
                    <a:alpha val="70000"/>
                  </a:schemeClr>
                </a:solidFill>
                <a:round/>
              </a:ln>
              <a:effectLst/>
            </c:spPr>
          </c:marker>
          <c:xVal>
            <c:numRef>
              <c:f>Charts!$A$19:$A$41</c:f>
              <c:numCache>
                <c:formatCode>General</c:formatCode>
                <c:ptCount val="23"/>
                <c:pt idx="0">
                  <c:v>5.0999999999999996</c:v>
                </c:pt>
                <c:pt idx="1">
                  <c:v>4.9000000000000004</c:v>
                </c:pt>
                <c:pt idx="2">
                  <c:v>4.7</c:v>
                </c:pt>
                <c:pt idx="3">
                  <c:v>4.5999999999999996</c:v>
                </c:pt>
                <c:pt idx="4">
                  <c:v>5</c:v>
                </c:pt>
                <c:pt idx="5">
                  <c:v>5.4</c:v>
                </c:pt>
                <c:pt idx="6">
                  <c:v>4.5999999999999996</c:v>
                </c:pt>
                <c:pt idx="7">
                  <c:v>7</c:v>
                </c:pt>
                <c:pt idx="8">
                  <c:v>6.4</c:v>
                </c:pt>
                <c:pt idx="9">
                  <c:v>6.9</c:v>
                </c:pt>
                <c:pt idx="10">
                  <c:v>5.5</c:v>
                </c:pt>
                <c:pt idx="11">
                  <c:v>6.5</c:v>
                </c:pt>
                <c:pt idx="12">
                  <c:v>5.7</c:v>
                </c:pt>
                <c:pt idx="13">
                  <c:v>6.3</c:v>
                </c:pt>
                <c:pt idx="14">
                  <c:v>4.9000000000000004</c:v>
                </c:pt>
                <c:pt idx="15">
                  <c:v>5.8</c:v>
                </c:pt>
                <c:pt idx="16">
                  <c:v>7.1</c:v>
                </c:pt>
                <c:pt idx="17">
                  <c:v>6.3</c:v>
                </c:pt>
                <c:pt idx="18">
                  <c:v>6.5</c:v>
                </c:pt>
                <c:pt idx="19">
                  <c:v>7.6</c:v>
                </c:pt>
                <c:pt idx="20">
                  <c:v>4.9000000000000004</c:v>
                </c:pt>
                <c:pt idx="21">
                  <c:v>7.3</c:v>
                </c:pt>
                <c:pt idx="22">
                  <c:v>6.7</c:v>
                </c:pt>
              </c:numCache>
            </c:numRef>
          </c:xVal>
          <c:yVal>
            <c:numRef>
              <c:f>Charts!$B$19:$B$41</c:f>
              <c:numCache>
                <c:formatCode>General</c:formatCode>
                <c:ptCount val="23"/>
                <c:pt idx="0">
                  <c:v>3.5</c:v>
                </c:pt>
                <c:pt idx="1">
                  <c:v>3</c:v>
                </c:pt>
                <c:pt idx="2">
                  <c:v>3.2</c:v>
                </c:pt>
                <c:pt idx="3">
                  <c:v>3.1</c:v>
                </c:pt>
                <c:pt idx="4">
                  <c:v>3.6</c:v>
                </c:pt>
                <c:pt idx="5">
                  <c:v>3.9</c:v>
                </c:pt>
                <c:pt idx="6">
                  <c:v>3.4</c:v>
                </c:pt>
                <c:pt idx="7">
                  <c:v>3.2</c:v>
                </c:pt>
                <c:pt idx="8">
                  <c:v>3.2</c:v>
                </c:pt>
                <c:pt idx="9">
                  <c:v>3.1</c:v>
                </c:pt>
                <c:pt idx="10">
                  <c:v>2.2999999999999998</c:v>
                </c:pt>
                <c:pt idx="11">
                  <c:v>2.8</c:v>
                </c:pt>
                <c:pt idx="12">
                  <c:v>2.8</c:v>
                </c:pt>
                <c:pt idx="13">
                  <c:v>3.3</c:v>
                </c:pt>
                <c:pt idx="14">
                  <c:v>2.4</c:v>
                </c:pt>
                <c:pt idx="15">
                  <c:v>2.7</c:v>
                </c:pt>
                <c:pt idx="16">
                  <c:v>3</c:v>
                </c:pt>
                <c:pt idx="17">
                  <c:v>2.9</c:v>
                </c:pt>
                <c:pt idx="18">
                  <c:v>3</c:v>
                </c:pt>
                <c:pt idx="19">
                  <c:v>3</c:v>
                </c:pt>
                <c:pt idx="20">
                  <c:v>2.5</c:v>
                </c:pt>
                <c:pt idx="21">
                  <c:v>2.9</c:v>
                </c:pt>
                <c:pt idx="22">
                  <c:v>2.5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118-634C-A9F5-80D81C48EE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3344799"/>
        <c:axId val="1088886863"/>
      </c:scatterChart>
      <c:valAx>
        <c:axId val="1153344799"/>
        <c:scaling>
          <c:orientation val="minMax"/>
          <c:min val="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Sepal Length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8886863"/>
        <c:crosses val="autoZero"/>
        <c:crossBetween val="midCat"/>
      </c:valAx>
      <c:valAx>
        <c:axId val="1088886863"/>
        <c:scaling>
          <c:orientation val="minMax"/>
          <c:min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Sepal Width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33447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Sales Figures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Charts!$B$50</c:f>
              <c:strCache>
                <c:ptCount val="1"/>
                <c:pt idx="0">
                  <c:v>In Store Sales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Charts!$A$51:$A$53</c:f>
              <c:strCache>
                <c:ptCount val="3"/>
                <c:pt idx="0">
                  <c:v>Toys</c:v>
                </c:pt>
                <c:pt idx="1">
                  <c:v>Shoes</c:v>
                </c:pt>
                <c:pt idx="2">
                  <c:v>Laptops</c:v>
                </c:pt>
              </c:strCache>
            </c:strRef>
          </c:cat>
          <c:val>
            <c:numRef>
              <c:f>Charts!$B$51:$D$51</c:f>
              <c:numCache>
                <c:formatCode>General</c:formatCode>
                <c:ptCount val="3"/>
                <c:pt idx="0" formatCode="#,##0">
                  <c:v>22150</c:v>
                </c:pt>
                <c:pt idx="1">
                  <c:v>43690</c:v>
                </c:pt>
                <c:pt idx="2">
                  <c:v>57890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C5-6647-A75C-CC18769C7010}"/>
            </c:ext>
          </c:extLst>
        </c:ser>
        <c:ser>
          <c:idx val="1"/>
          <c:order val="1"/>
          <c:tx>
            <c:strRef>
              <c:f>Charts!$C$50</c:f>
              <c:strCache>
                <c:ptCount val="1"/>
                <c:pt idx="0">
                  <c:v>Website Sales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Charts!$A$51:$A$53</c:f>
              <c:strCache>
                <c:ptCount val="3"/>
                <c:pt idx="0">
                  <c:v>Toys</c:v>
                </c:pt>
                <c:pt idx="1">
                  <c:v>Shoes</c:v>
                </c:pt>
                <c:pt idx="2">
                  <c:v>Laptops</c:v>
                </c:pt>
              </c:strCache>
            </c:strRef>
          </c:cat>
          <c:val>
            <c:numRef>
              <c:f>Charts!$B$52:$D$52</c:f>
              <c:numCache>
                <c:formatCode>General</c:formatCode>
                <c:ptCount val="3"/>
                <c:pt idx="0">
                  <c:v>137500</c:v>
                </c:pt>
                <c:pt idx="1">
                  <c:v>151200</c:v>
                </c:pt>
                <c:pt idx="2">
                  <c:v>43500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FC5-6647-A75C-CC18769C7010}"/>
            </c:ext>
          </c:extLst>
        </c:ser>
        <c:ser>
          <c:idx val="2"/>
          <c:order val="2"/>
          <c:tx>
            <c:strRef>
              <c:f>Charts!$D$50</c:f>
              <c:strCache>
                <c:ptCount val="1"/>
                <c:pt idx="0">
                  <c:v>Mailorder Sales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Charts!$A$51:$A$53</c:f>
              <c:strCache>
                <c:ptCount val="3"/>
                <c:pt idx="0">
                  <c:v>Toys</c:v>
                </c:pt>
                <c:pt idx="1">
                  <c:v>Shoes</c:v>
                </c:pt>
                <c:pt idx="2">
                  <c:v>Laptops</c:v>
                </c:pt>
              </c:strCache>
            </c:strRef>
          </c:cat>
          <c:val>
            <c:numRef>
              <c:f>Charts!$B$53:$D$53</c:f>
              <c:numCache>
                <c:formatCode>General</c:formatCode>
                <c:ptCount val="3"/>
                <c:pt idx="0">
                  <c:v>17540</c:v>
                </c:pt>
                <c:pt idx="1">
                  <c:v>14550</c:v>
                </c:pt>
                <c:pt idx="2">
                  <c:v>27890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FC5-6647-A75C-CC18769C70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113882175"/>
        <c:axId val="1153872607"/>
      </c:barChart>
      <c:catAx>
        <c:axId val="1113882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3872607"/>
        <c:crosses val="autoZero"/>
        <c:auto val="1"/>
        <c:lblAlgn val="ctr"/>
        <c:lblOffset val="100"/>
        <c:noMultiLvlLbl val="0"/>
      </c:catAx>
      <c:valAx>
        <c:axId val="1153872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Units Sold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3882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5400" cap="flat" cmpd="dbl" algn="ctr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34925" cap="flat" cmpd="dbl" algn="ctr">
        <a:solidFill>
          <a:schemeClr val="phClr">
            <a:lumMod val="75000"/>
            <a:alpha val="70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kern="1200" spc="0" normalizeH="0" baseline="0"/>
  </cs:title>
  <cs:trendline>
    <cs:lnRef idx="0">
      <cs:styleClr val="0"/>
    </cs:lnRef>
    <cs:fillRef idx="0"/>
    <cs:effectRef idx="0"/>
    <cs:fontRef idx="minor">
      <a:schemeClr val="tx1"/>
    </cs:fontRef>
    <cs:spPr>
      <a:ln w="38100" cap="rnd" cmpd="sng" algn="ctr">
        <a:solidFill>
          <a:schemeClr val="phClr">
            <a:lumMod val="75000"/>
            <a:alpha val="25000"/>
          </a:schemeClr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b="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5746</xdr:colOff>
      <xdr:row>0</xdr:row>
      <xdr:rowOff>24423</xdr:rowOff>
    </xdr:from>
    <xdr:to>
      <xdr:col>7</xdr:col>
      <xdr:colOff>708269</xdr:colOff>
      <xdr:row>13</xdr:row>
      <xdr:rowOff>8141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CF14D99-F8F7-B746-9F7D-7A389216A6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42333</xdr:colOff>
      <xdr:row>17</xdr:row>
      <xdr:rowOff>61219</xdr:rowOff>
    </xdr:from>
    <xdr:to>
      <xdr:col>10</xdr:col>
      <xdr:colOff>586153</xdr:colOff>
      <xdr:row>32</xdr:row>
      <xdr:rowOff>122113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C04B35A-7DDF-E047-902B-B9E0584469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978551</xdr:colOff>
      <xdr:row>48</xdr:row>
      <xdr:rowOff>199618</xdr:rowOff>
    </xdr:from>
    <xdr:to>
      <xdr:col>10</xdr:col>
      <xdr:colOff>340295</xdr:colOff>
      <xdr:row>60</xdr:row>
      <xdr:rowOff>73270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F3D5589-C37B-A443-ABD1-319365E54C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4381.710851736112" createdVersion="7" refreshedVersion="7" minRefreshableVersion="3" recordCount="248" xr:uid="{C697CF9A-B6F5-824D-9808-D8C1C41E9148}">
  <cacheSource type="worksheet">
    <worksheetSource ref="A1:E249" sheet="Italy Covid Data"/>
  </cacheSource>
  <cacheFields count="5">
    <cacheField name="Date" numFmtId="14">
      <sharedItems containsSemiMixedTypes="0" containsNonDate="0" containsDate="1" containsString="0" minDate="2019-12-31T00:00:00" maxDate="2020-09-04T00:00:00"/>
    </cacheField>
    <cacheField name="New Cases" numFmtId="0">
      <sharedItems containsSemiMixedTypes="0" containsString="0" containsNumber="1" containsInteger="1" minValue="-148" maxValue="6557" count="188">
        <n v="0"/>
        <n v="3"/>
        <n v="14"/>
        <n v="62"/>
        <n v="53"/>
        <n v="97"/>
        <n v="93"/>
        <n v="78"/>
        <n v="250"/>
        <n v="238"/>
        <n v="240"/>
        <n v="561"/>
        <n v="347"/>
        <n v="466"/>
        <n v="587"/>
        <n v="769"/>
        <n v="778"/>
        <n v="6557"/>
        <n v="6153"/>
        <n v="5986"/>
        <n v="977"/>
        <n v="5974"/>
        <n v="5959"/>
        <n v="5560"/>
        <n v="5322"/>
        <n v="5249"/>
        <n v="5217"/>
        <n v="5210"/>
        <n v="4805"/>
        <n v="4789"/>
        <n v="4782"/>
        <n v="4694"/>
        <n v="4668"/>
        <n v="4585"/>
        <n v="4316"/>
        <n v="4207"/>
        <n v="4204"/>
        <n v="4092"/>
        <n v="4053"/>
        <n v="4050"/>
        <n v="4000"/>
        <n v="3951"/>
        <n v="3836"/>
        <n v="3786"/>
        <n v="3599"/>
        <n v="3526"/>
        <n v="3497"/>
        <n v="3493"/>
        <n v="3491"/>
        <n v="3370"/>
        <n v="3153"/>
        <n v="3047"/>
        <n v="3039"/>
        <n v="3021"/>
        <n v="2972"/>
        <n v="2823"/>
        <n v="2729"/>
        <n v="2667"/>
        <n v="2651"/>
        <n v="2646"/>
        <n v="2547"/>
        <n v="2357"/>
        <n v="2324"/>
        <n v="2313"/>
        <n v="2256"/>
        <n v="2091"/>
        <n v="2086"/>
        <n v="1965"/>
        <n v="1900"/>
        <n v="1872"/>
        <n v="1797"/>
        <n v="1739"/>
        <n v="1492"/>
        <n v="1460"/>
        <n v="1444"/>
        <n v="1409"/>
        <n v="1402"/>
        <n v="1401"/>
        <n v="1389"/>
        <n v="1366"/>
        <n v="802"/>
        <n v="744"/>
        <n v="1365"/>
        <n v="888"/>
        <n v="992"/>
        <n v="789"/>
        <n v="875"/>
        <n v="675"/>
        <n v="451"/>
        <n v="813"/>
        <n v="665"/>
        <n v="642"/>
        <n v="652"/>
        <n v="669"/>
        <n v="531"/>
        <n v="300"/>
        <n v="397"/>
        <n v="584"/>
        <n v="593"/>
        <n v="516"/>
        <n v="416"/>
        <n v="355"/>
        <n v="178"/>
        <n v="318"/>
        <n v="321"/>
        <n v="177"/>
        <n v="518"/>
        <n v="270"/>
        <n v="197"/>
        <n v="280"/>
        <n v="283"/>
        <n v="202"/>
        <n v="379"/>
        <n v="163"/>
        <n v="346"/>
        <n v="338"/>
        <n v="301"/>
        <n v="210"/>
        <n v="328"/>
        <n v="331"/>
        <n v="-148"/>
        <n v="264"/>
        <n v="224"/>
        <n v="221"/>
        <n v="113"/>
        <n v="577"/>
        <n v="296"/>
        <n v="255"/>
        <n v="175"/>
        <n v="174"/>
        <n v="126"/>
        <n v="142"/>
        <n v="182"/>
        <n v="201"/>
        <n v="223"/>
        <n v="235"/>
        <n v="192"/>
        <n v="208"/>
        <n v="137"/>
        <n v="193"/>
        <n v="214"/>
        <n v="276"/>
        <n v="188"/>
        <n v="234"/>
        <n v="169"/>
        <n v="114"/>
        <n v="162"/>
        <n v="230"/>
        <n v="231"/>
        <n v="249"/>
        <n v="218"/>
        <n v="190"/>
        <n v="128"/>
        <n v="306"/>
        <n v="252"/>
        <n v="274"/>
        <n v="254"/>
        <n v="168"/>
        <n v="288"/>
        <n v="382"/>
        <n v="295"/>
        <n v="159"/>
        <n v="384"/>
        <n v="401"/>
        <n v="552"/>
        <n v="463"/>
        <n v="259"/>
        <n v="412"/>
        <n v="476"/>
        <n v="522"/>
        <n v="574"/>
        <n v="629"/>
        <n v="477"/>
        <n v="320"/>
        <n v="840"/>
        <n v="947"/>
        <n v="1327"/>
        <n v="1326"/>
        <n v="953"/>
        <n v="876"/>
        <n v="1247"/>
        <n v="1221"/>
        <n v="1209"/>
        <n v="1083"/>
        <n v="1075"/>
        <n v="996"/>
        <n v="975"/>
        <n v="1071"/>
      </sharedItems>
    </cacheField>
    <cacheField name="New Deaths" numFmtId="0">
      <sharedItems containsSemiMixedTypes="0" containsString="0" containsNumber="1" containsInteger="1" minValue="-31" maxValue="971" count="129">
        <n v="0"/>
        <n v="2"/>
        <n v="4"/>
        <n v="5"/>
        <n v="1"/>
        <n v="8"/>
        <n v="6"/>
        <n v="17"/>
        <n v="28"/>
        <n v="27"/>
        <n v="41"/>
        <n v="49"/>
        <n v="795"/>
        <n v="660"/>
        <n v="625"/>
        <n v="167"/>
        <n v="887"/>
        <n v="971"/>
        <n v="649"/>
        <n v="429"/>
        <n v="743"/>
        <n v="758"/>
        <n v="685"/>
        <n v="681"/>
        <n v="601"/>
        <n v="727"/>
        <n v="619"/>
        <n v="760"/>
        <n v="764"/>
        <n v="527"/>
        <n v="473"/>
        <n v="612"/>
        <n v="431"/>
        <n v="839"/>
        <n v="810"/>
        <n v="347"/>
        <n v="570"/>
        <n v="540"/>
        <n v="525"/>
        <n v="636"/>
        <n v="173"/>
        <n v="575"/>
        <n v="480"/>
        <n v="437"/>
        <n v="564"/>
        <n v="433"/>
        <n v="604"/>
        <n v="420"/>
        <n v="370"/>
        <n v="534"/>
        <n v="578"/>
        <n v="189"/>
        <n v="464"/>
        <n v="252"/>
        <n v="415"/>
        <n v="260"/>
        <n v="196"/>
        <n v="454"/>
        <n v="382"/>
        <n v="323"/>
        <n v="269"/>
        <n v="474"/>
        <n v="285"/>
        <n v="98"/>
        <n v="333"/>
        <n v="133"/>
        <n v="9"/>
        <n v="369"/>
        <n v="172"/>
        <n v="274"/>
        <n v="174"/>
        <n v="13"/>
        <n v="165"/>
        <n v="179"/>
        <n v="195"/>
        <n v="262"/>
        <n v="242"/>
        <n v="153"/>
        <n v="145"/>
        <n v="99"/>
        <n v="162"/>
        <n v="161"/>
        <n v="156"/>
        <n v="130"/>
        <n v="119"/>
        <n v="50"/>
        <n v="92"/>
        <n v="78"/>
        <n v="117"/>
        <n v="70"/>
        <n v="87"/>
        <n v="111"/>
        <n v="75"/>
        <n v="60"/>
        <n v="55"/>
        <n v="71"/>
        <n v="88"/>
        <n v="85"/>
        <n v="72"/>
        <n v="53"/>
        <n v="65"/>
        <n v="79"/>
        <n v="56"/>
        <n v="44"/>
        <n v="26"/>
        <n v="34"/>
        <n v="43"/>
        <n v="66"/>
        <n v="47"/>
        <n v="24"/>
        <n v="23"/>
        <n v="18"/>
        <n v="-31"/>
        <n v="30"/>
        <n v="22"/>
        <n v="21"/>
        <n v="15"/>
        <n v="7"/>
        <n v="12"/>
        <n v="20"/>
        <n v="11"/>
        <n v="14"/>
        <n v="3"/>
        <n v="10"/>
        <n v="158"/>
        <n v="243"/>
        <n v="36"/>
        <n v="194"/>
        <n v="236"/>
      </sharedItems>
    </cacheField>
    <cacheField name="New Tests" numFmtId="0">
      <sharedItems containsString="0" containsBlank="1" containsNumber="1" containsInteger="1" minValue="7841" maxValue="95273" count="136">
        <m/>
        <n v="37083"/>
        <n v="7841"/>
        <n v="38676"/>
        <n v="44248"/>
        <n v="95273"/>
        <n v="24113"/>
        <n v="26678"/>
        <n v="28095"/>
        <n v="38589"/>
        <n v="41441"/>
        <n v="31231"/>
        <n v="27047"/>
        <n v="43732"/>
        <n v="37554"/>
        <n v="64294"/>
        <n v="13665"/>
        <n v="53541"/>
        <n v="65135"/>
        <n v="37049"/>
        <n v="45428"/>
        <n v="22999"/>
        <n v="57640"/>
        <n v="25823"/>
        <n v="39620"/>
        <n v="42583"/>
        <n v="41131"/>
        <n v="39027"/>
        <n v="40657"/>
        <n v="33505"/>
        <n v="26101"/>
        <n v="40226"/>
        <n v="38617"/>
        <n v="40644"/>
        <n v="42987"/>
        <n v="42579"/>
        <n v="34206"/>
        <n v="20676"/>
        <n v="33944"/>
        <n v="37299"/>
        <n v="39838"/>
        <n v="38233"/>
        <n v="36051"/>
        <n v="28948"/>
        <n v="18053"/>
        <n v="25628"/>
        <n v="20035"/>
        <n v="27451"/>
        <n v="40470"/>
        <n v="34036"/>
        <n v="27894"/>
        <n v="16301"/>
        <n v="32200"/>
        <n v="37865"/>
        <n v="32991"/>
        <n v="37651"/>
        <n v="32880"/>
        <n v="29545"/>
        <n v="17463"/>
        <n v="27762"/>
        <n v="33957"/>
        <n v="32921"/>
        <n v="28570"/>
        <n v="29875"/>
        <n v="24581"/>
        <n v="16152"/>
        <n v="23225"/>
        <n v="30237"/>
        <n v="29421"/>
        <n v="28331"/>
        <n v="29721"/>
        <n v="21183"/>
        <n v="15484"/>
        <n v="28471"/>
        <n v="29325"/>
        <n v="29147"/>
        <n v="25680"/>
        <n v="28946"/>
        <n v="21166"/>
        <n v="13771"/>
        <n v="22490"/>
        <n v="28679"/>
        <n v="29947"/>
        <n v="27251"/>
        <n v="25449"/>
        <n v="23061"/>
        <n v="14006"/>
        <n v="24222"/>
        <n v="28392"/>
        <n v="28089"/>
        <n v="28661"/>
        <n v="27569"/>
        <n v="20621"/>
        <n v="14121"/>
        <n v="23915"/>
        <n v="29288"/>
        <n v="33018"/>
        <n v="28970"/>
        <n v="28059"/>
        <n v="25177"/>
        <n v="19374"/>
        <n v="25341"/>
        <n v="30875"/>
        <n v="33396"/>
        <n v="29686"/>
        <n v="31905"/>
        <n v="24496"/>
        <n v="13467"/>
        <n v="23491"/>
        <n v="29739"/>
        <n v="32169"/>
        <n v="30392"/>
        <n v="26631"/>
        <n v="22773"/>
        <n v="10904"/>
        <n v="22063"/>
        <n v="27330"/>
        <n v="25629"/>
        <n v="24868"/>
        <n v="25937"/>
        <n v="22470"/>
        <n v="21379"/>
        <n v="32687"/>
        <n v="41290"/>
        <n v="49662"/>
        <n v="44943"/>
        <n v="46613"/>
        <n v="36091"/>
        <n v="45798"/>
        <n v="58054"/>
        <n v="32211"/>
        <n v="33358"/>
        <n v="31384"/>
        <n v="37771"/>
        <n v="54395"/>
        <n v="47463"/>
      </sharedItems>
    </cacheField>
    <cacheField name="Month" numFmtId="0">
      <sharedItems containsString="0" containsBlank="1" containsNumber="1" containsInteger="1" minValue="3" maxValue="9" count="6">
        <m/>
        <n v="3"/>
        <n v="4"/>
        <n v="5"/>
        <n v="8"/>
        <n v="9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8">
  <r>
    <d v="2019-12-31T00:00:00"/>
    <x v="0"/>
    <x v="0"/>
    <x v="0"/>
    <x v="0"/>
  </r>
  <r>
    <d v="2020-01-01T00:00:00"/>
    <x v="0"/>
    <x v="0"/>
    <x v="0"/>
    <x v="0"/>
  </r>
  <r>
    <d v="2020-01-02T00:00:00"/>
    <x v="0"/>
    <x v="0"/>
    <x v="0"/>
    <x v="0"/>
  </r>
  <r>
    <d v="2020-01-03T00:00:00"/>
    <x v="0"/>
    <x v="0"/>
    <x v="0"/>
    <x v="0"/>
  </r>
  <r>
    <d v="2020-01-04T00:00:00"/>
    <x v="0"/>
    <x v="0"/>
    <x v="0"/>
    <x v="0"/>
  </r>
  <r>
    <d v="2020-01-05T00:00:00"/>
    <x v="0"/>
    <x v="0"/>
    <x v="0"/>
    <x v="0"/>
  </r>
  <r>
    <d v="2020-01-06T00:00:00"/>
    <x v="0"/>
    <x v="0"/>
    <x v="0"/>
    <x v="0"/>
  </r>
  <r>
    <d v="2020-01-07T00:00:00"/>
    <x v="0"/>
    <x v="0"/>
    <x v="0"/>
    <x v="0"/>
  </r>
  <r>
    <d v="2020-01-08T00:00:00"/>
    <x v="0"/>
    <x v="0"/>
    <x v="0"/>
    <x v="0"/>
  </r>
  <r>
    <d v="2020-01-09T00:00:00"/>
    <x v="0"/>
    <x v="0"/>
    <x v="0"/>
    <x v="0"/>
  </r>
  <r>
    <d v="2020-01-10T00:00:00"/>
    <x v="0"/>
    <x v="0"/>
    <x v="0"/>
    <x v="0"/>
  </r>
  <r>
    <d v="2020-01-11T00:00:00"/>
    <x v="0"/>
    <x v="0"/>
    <x v="0"/>
    <x v="0"/>
  </r>
  <r>
    <d v="2020-01-12T00:00:00"/>
    <x v="0"/>
    <x v="0"/>
    <x v="0"/>
    <x v="0"/>
  </r>
  <r>
    <d v="2020-01-13T00:00:00"/>
    <x v="0"/>
    <x v="0"/>
    <x v="0"/>
    <x v="0"/>
  </r>
  <r>
    <d v="2020-01-14T00:00:00"/>
    <x v="0"/>
    <x v="0"/>
    <x v="0"/>
    <x v="0"/>
  </r>
  <r>
    <d v="2020-01-15T00:00:00"/>
    <x v="0"/>
    <x v="0"/>
    <x v="0"/>
    <x v="0"/>
  </r>
  <r>
    <d v="2020-01-16T00:00:00"/>
    <x v="0"/>
    <x v="0"/>
    <x v="0"/>
    <x v="0"/>
  </r>
  <r>
    <d v="2020-01-17T00:00:00"/>
    <x v="0"/>
    <x v="0"/>
    <x v="0"/>
    <x v="0"/>
  </r>
  <r>
    <d v="2020-01-18T00:00:00"/>
    <x v="0"/>
    <x v="0"/>
    <x v="0"/>
    <x v="0"/>
  </r>
  <r>
    <d v="2020-01-19T00:00:00"/>
    <x v="0"/>
    <x v="0"/>
    <x v="0"/>
    <x v="0"/>
  </r>
  <r>
    <d v="2020-01-20T00:00:00"/>
    <x v="0"/>
    <x v="0"/>
    <x v="0"/>
    <x v="0"/>
  </r>
  <r>
    <d v="2020-01-21T00:00:00"/>
    <x v="0"/>
    <x v="0"/>
    <x v="0"/>
    <x v="0"/>
  </r>
  <r>
    <d v="2020-01-22T00:00:00"/>
    <x v="0"/>
    <x v="0"/>
    <x v="0"/>
    <x v="0"/>
  </r>
  <r>
    <d v="2020-01-23T00:00:00"/>
    <x v="0"/>
    <x v="0"/>
    <x v="0"/>
    <x v="0"/>
  </r>
  <r>
    <d v="2020-01-24T00:00:00"/>
    <x v="0"/>
    <x v="0"/>
    <x v="0"/>
    <x v="0"/>
  </r>
  <r>
    <d v="2020-01-25T00:00:00"/>
    <x v="0"/>
    <x v="0"/>
    <x v="0"/>
    <x v="0"/>
  </r>
  <r>
    <d v="2020-01-26T00:00:00"/>
    <x v="0"/>
    <x v="0"/>
    <x v="0"/>
    <x v="0"/>
  </r>
  <r>
    <d v="2020-01-27T00:00:00"/>
    <x v="0"/>
    <x v="0"/>
    <x v="0"/>
    <x v="0"/>
  </r>
  <r>
    <d v="2020-01-28T00:00:00"/>
    <x v="0"/>
    <x v="0"/>
    <x v="0"/>
    <x v="0"/>
  </r>
  <r>
    <d v="2020-01-29T00:00:00"/>
    <x v="0"/>
    <x v="0"/>
    <x v="0"/>
    <x v="0"/>
  </r>
  <r>
    <d v="2020-01-30T00:00:00"/>
    <x v="0"/>
    <x v="0"/>
    <x v="0"/>
    <x v="0"/>
  </r>
  <r>
    <d v="2020-01-31T00:00:00"/>
    <x v="1"/>
    <x v="0"/>
    <x v="0"/>
    <x v="0"/>
  </r>
  <r>
    <d v="2020-02-01T00:00:00"/>
    <x v="0"/>
    <x v="0"/>
    <x v="0"/>
    <x v="0"/>
  </r>
  <r>
    <d v="2020-02-02T00:00:00"/>
    <x v="0"/>
    <x v="0"/>
    <x v="0"/>
    <x v="0"/>
  </r>
  <r>
    <d v="2020-02-03T00:00:00"/>
    <x v="0"/>
    <x v="0"/>
    <x v="0"/>
    <x v="0"/>
  </r>
  <r>
    <d v="2020-02-04T00:00:00"/>
    <x v="0"/>
    <x v="0"/>
    <x v="0"/>
    <x v="0"/>
  </r>
  <r>
    <d v="2020-02-05T00:00:00"/>
    <x v="0"/>
    <x v="0"/>
    <x v="0"/>
    <x v="0"/>
  </r>
  <r>
    <d v="2020-02-06T00:00:00"/>
    <x v="0"/>
    <x v="0"/>
    <x v="0"/>
    <x v="0"/>
  </r>
  <r>
    <d v="2020-02-07T00:00:00"/>
    <x v="0"/>
    <x v="0"/>
    <x v="0"/>
    <x v="0"/>
  </r>
  <r>
    <d v="2020-02-08T00:00:00"/>
    <x v="0"/>
    <x v="0"/>
    <x v="0"/>
    <x v="0"/>
  </r>
  <r>
    <d v="2020-02-09T00:00:00"/>
    <x v="0"/>
    <x v="0"/>
    <x v="0"/>
    <x v="0"/>
  </r>
  <r>
    <d v="2020-02-10T00:00:00"/>
    <x v="0"/>
    <x v="0"/>
    <x v="0"/>
    <x v="0"/>
  </r>
  <r>
    <d v="2020-02-11T00:00:00"/>
    <x v="0"/>
    <x v="0"/>
    <x v="0"/>
    <x v="0"/>
  </r>
  <r>
    <d v="2020-02-12T00:00:00"/>
    <x v="0"/>
    <x v="0"/>
    <x v="0"/>
    <x v="0"/>
  </r>
  <r>
    <d v="2020-02-13T00:00:00"/>
    <x v="0"/>
    <x v="0"/>
    <x v="0"/>
    <x v="0"/>
  </r>
  <r>
    <d v="2020-02-14T00:00:00"/>
    <x v="0"/>
    <x v="0"/>
    <x v="0"/>
    <x v="0"/>
  </r>
  <r>
    <d v="2020-02-15T00:00:00"/>
    <x v="0"/>
    <x v="0"/>
    <x v="0"/>
    <x v="0"/>
  </r>
  <r>
    <d v="2020-02-16T00:00:00"/>
    <x v="0"/>
    <x v="0"/>
    <x v="0"/>
    <x v="0"/>
  </r>
  <r>
    <d v="2020-02-17T00:00:00"/>
    <x v="0"/>
    <x v="0"/>
    <x v="0"/>
    <x v="0"/>
  </r>
  <r>
    <d v="2020-02-18T00:00:00"/>
    <x v="0"/>
    <x v="0"/>
    <x v="0"/>
    <x v="0"/>
  </r>
  <r>
    <d v="2020-02-19T00:00:00"/>
    <x v="0"/>
    <x v="0"/>
    <x v="0"/>
    <x v="0"/>
  </r>
  <r>
    <d v="2020-02-20T00:00:00"/>
    <x v="0"/>
    <x v="0"/>
    <x v="0"/>
    <x v="0"/>
  </r>
  <r>
    <d v="2020-02-21T00:00:00"/>
    <x v="0"/>
    <x v="0"/>
    <x v="0"/>
    <x v="0"/>
  </r>
  <r>
    <d v="2020-02-22T00:00:00"/>
    <x v="2"/>
    <x v="0"/>
    <x v="0"/>
    <x v="0"/>
  </r>
  <r>
    <d v="2020-02-23T00:00:00"/>
    <x v="3"/>
    <x v="1"/>
    <x v="0"/>
    <x v="0"/>
  </r>
  <r>
    <d v="2020-02-24T00:00:00"/>
    <x v="4"/>
    <x v="0"/>
    <x v="0"/>
    <x v="0"/>
  </r>
  <r>
    <d v="2020-02-25T00:00:00"/>
    <x v="5"/>
    <x v="2"/>
    <x v="0"/>
    <x v="0"/>
  </r>
  <r>
    <d v="2020-02-26T00:00:00"/>
    <x v="6"/>
    <x v="3"/>
    <x v="0"/>
    <x v="0"/>
  </r>
  <r>
    <d v="2020-02-27T00:00:00"/>
    <x v="7"/>
    <x v="4"/>
    <x v="0"/>
    <x v="0"/>
  </r>
  <r>
    <d v="2020-02-28T00:00:00"/>
    <x v="8"/>
    <x v="3"/>
    <x v="0"/>
    <x v="0"/>
  </r>
  <r>
    <d v="2020-02-29T00:00:00"/>
    <x v="9"/>
    <x v="2"/>
    <x v="0"/>
    <x v="0"/>
  </r>
  <r>
    <d v="2020-03-01T00:00:00"/>
    <x v="10"/>
    <x v="5"/>
    <x v="0"/>
    <x v="0"/>
  </r>
  <r>
    <d v="2020-03-02T00:00:00"/>
    <x v="11"/>
    <x v="6"/>
    <x v="0"/>
    <x v="0"/>
  </r>
  <r>
    <d v="2020-03-03T00:00:00"/>
    <x v="12"/>
    <x v="7"/>
    <x v="0"/>
    <x v="0"/>
  </r>
  <r>
    <d v="2020-03-04T00:00:00"/>
    <x v="13"/>
    <x v="8"/>
    <x v="0"/>
    <x v="0"/>
  </r>
  <r>
    <d v="2020-03-05T00:00:00"/>
    <x v="14"/>
    <x v="9"/>
    <x v="0"/>
    <x v="0"/>
  </r>
  <r>
    <d v="2020-03-06T00:00:00"/>
    <x v="15"/>
    <x v="10"/>
    <x v="0"/>
    <x v="0"/>
  </r>
  <r>
    <d v="2020-03-07T00:00:00"/>
    <x v="16"/>
    <x v="11"/>
    <x v="0"/>
    <x v="0"/>
  </r>
  <r>
    <d v="2020-03-22T00:00:00"/>
    <x v="17"/>
    <x v="12"/>
    <x v="0"/>
    <x v="1"/>
  </r>
  <r>
    <d v="2020-03-27T00:00:00"/>
    <x v="18"/>
    <x v="13"/>
    <x v="0"/>
    <x v="1"/>
  </r>
  <r>
    <d v="2020-03-21T00:00:00"/>
    <x v="19"/>
    <x v="14"/>
    <x v="0"/>
    <x v="1"/>
  </r>
  <r>
    <d v="2020-03-11T00:00:00"/>
    <x v="20"/>
    <x v="15"/>
    <x v="0"/>
    <x v="0"/>
  </r>
  <r>
    <d v="2020-03-29T00:00:00"/>
    <x v="21"/>
    <x v="16"/>
    <x v="0"/>
    <x v="1"/>
  </r>
  <r>
    <d v="2020-03-28T00:00:00"/>
    <x v="22"/>
    <x v="17"/>
    <x v="0"/>
    <x v="1"/>
  </r>
  <r>
    <d v="2020-03-23T00:00:00"/>
    <x v="23"/>
    <x v="18"/>
    <x v="0"/>
    <x v="1"/>
  </r>
  <r>
    <d v="2020-03-20T00:00:00"/>
    <x v="24"/>
    <x v="19"/>
    <x v="0"/>
    <x v="1"/>
  </r>
  <r>
    <d v="2020-03-25T00:00:00"/>
    <x v="25"/>
    <x v="20"/>
    <x v="0"/>
    <x v="1"/>
  </r>
  <r>
    <d v="2020-03-30T00:00:00"/>
    <x v="26"/>
    <x v="21"/>
    <x v="0"/>
    <x v="1"/>
  </r>
  <r>
    <d v="2020-03-26T00:00:00"/>
    <x v="27"/>
    <x v="22"/>
    <x v="0"/>
    <x v="1"/>
  </r>
  <r>
    <d v="2020-04-05T00:00:00"/>
    <x v="28"/>
    <x v="23"/>
    <x v="0"/>
    <x v="2"/>
  </r>
  <r>
    <d v="2020-03-24T00:00:00"/>
    <x v="29"/>
    <x v="24"/>
    <x v="0"/>
    <x v="1"/>
  </r>
  <r>
    <d v="2020-04-02T00:00:00"/>
    <x v="30"/>
    <x v="25"/>
    <x v="0"/>
    <x v="2"/>
  </r>
  <r>
    <d v="2020-04-12T00:00:00"/>
    <x v="31"/>
    <x v="26"/>
    <x v="0"/>
    <x v="2"/>
  </r>
  <r>
    <d v="2020-04-03T00:00:00"/>
    <x v="32"/>
    <x v="27"/>
    <x v="0"/>
    <x v="2"/>
  </r>
  <r>
    <d v="2020-04-04T00:00:00"/>
    <x v="33"/>
    <x v="28"/>
    <x v="0"/>
    <x v="2"/>
  </r>
  <r>
    <d v="2020-04-06T00:00:00"/>
    <x v="34"/>
    <x v="29"/>
    <x v="0"/>
    <x v="2"/>
  </r>
  <r>
    <d v="2020-03-19T00:00:00"/>
    <x v="35"/>
    <x v="30"/>
    <x v="0"/>
    <x v="1"/>
  </r>
  <r>
    <d v="2020-04-10T00:00:00"/>
    <x v="36"/>
    <x v="31"/>
    <x v="0"/>
    <x v="2"/>
  </r>
  <r>
    <d v="2020-04-13T00:00:00"/>
    <x v="37"/>
    <x v="32"/>
    <x v="0"/>
    <x v="2"/>
  </r>
  <r>
    <d v="2020-04-01T00:00:00"/>
    <x v="38"/>
    <x v="33"/>
    <x v="0"/>
    <x v="2"/>
  </r>
  <r>
    <d v="2020-03-31T00:00:00"/>
    <x v="39"/>
    <x v="34"/>
    <x v="0"/>
    <x v="1"/>
  </r>
  <r>
    <d v="2020-03-17T00:00:00"/>
    <x v="40"/>
    <x v="35"/>
    <x v="0"/>
    <x v="1"/>
  </r>
  <r>
    <d v="2020-04-11T00:00:00"/>
    <x v="41"/>
    <x v="36"/>
    <x v="0"/>
    <x v="2"/>
  </r>
  <r>
    <d v="2020-04-09T00:00:00"/>
    <x v="42"/>
    <x v="37"/>
    <x v="0"/>
    <x v="2"/>
  </r>
  <r>
    <d v="2020-04-17T00:00:00"/>
    <x v="43"/>
    <x v="38"/>
    <x v="0"/>
    <x v="2"/>
  </r>
  <r>
    <d v="2020-04-07T00:00:00"/>
    <x v="44"/>
    <x v="39"/>
    <x v="0"/>
    <x v="2"/>
  </r>
  <r>
    <d v="2020-03-18T00:00:00"/>
    <x v="45"/>
    <x v="35"/>
    <x v="0"/>
    <x v="1"/>
  </r>
  <r>
    <d v="2020-03-15T00:00:00"/>
    <x v="46"/>
    <x v="40"/>
    <x v="0"/>
    <x v="1"/>
  </r>
  <r>
    <d v="2020-04-18T00:00:00"/>
    <x v="47"/>
    <x v="41"/>
    <x v="0"/>
    <x v="2"/>
  </r>
  <r>
    <d v="2020-04-19T00:00:00"/>
    <x v="48"/>
    <x v="42"/>
    <x v="0"/>
    <x v="2"/>
  </r>
  <r>
    <d v="2020-04-23T00:00:00"/>
    <x v="49"/>
    <x v="43"/>
    <x v="1"/>
    <x v="2"/>
  </r>
  <r>
    <d v="2020-04-14T00:00:00"/>
    <x v="50"/>
    <x v="44"/>
    <x v="0"/>
    <x v="2"/>
  </r>
  <r>
    <d v="2020-04-20T00:00:00"/>
    <x v="51"/>
    <x v="45"/>
    <x v="2"/>
    <x v="2"/>
  </r>
  <r>
    <d v="2020-04-08T00:00:00"/>
    <x v="52"/>
    <x v="46"/>
    <x v="0"/>
    <x v="2"/>
  </r>
  <r>
    <d v="2020-04-25T00:00:00"/>
    <x v="53"/>
    <x v="47"/>
    <x v="3"/>
    <x v="2"/>
  </r>
  <r>
    <d v="2020-04-15T00:00:00"/>
    <x v="54"/>
    <x v="46"/>
    <x v="0"/>
    <x v="2"/>
  </r>
  <r>
    <d v="2020-03-16T00:00:00"/>
    <x v="55"/>
    <x v="48"/>
    <x v="0"/>
    <x v="1"/>
  </r>
  <r>
    <d v="2020-04-22T00:00:00"/>
    <x v="56"/>
    <x v="49"/>
    <x v="4"/>
    <x v="2"/>
  </r>
  <r>
    <d v="2020-04-16T00:00:00"/>
    <x v="57"/>
    <x v="50"/>
    <x v="0"/>
    <x v="2"/>
  </r>
  <r>
    <d v="2020-03-13T00:00:00"/>
    <x v="58"/>
    <x v="51"/>
    <x v="0"/>
    <x v="1"/>
  </r>
  <r>
    <d v="2020-04-24T00:00:00"/>
    <x v="59"/>
    <x v="52"/>
    <x v="5"/>
    <x v="2"/>
  </r>
  <r>
    <d v="2020-03-14T00:00:00"/>
    <x v="60"/>
    <x v="53"/>
    <x v="0"/>
    <x v="1"/>
  </r>
  <r>
    <d v="2020-04-26T00:00:00"/>
    <x v="61"/>
    <x v="54"/>
    <x v="6"/>
    <x v="2"/>
  </r>
  <r>
    <d v="2020-04-27T00:00:00"/>
    <x v="62"/>
    <x v="55"/>
    <x v="7"/>
    <x v="2"/>
  </r>
  <r>
    <d v="2020-03-12T00:00:00"/>
    <x v="63"/>
    <x v="56"/>
    <x v="0"/>
    <x v="1"/>
  </r>
  <r>
    <d v="2020-04-21T00:00:00"/>
    <x v="64"/>
    <x v="57"/>
    <x v="8"/>
    <x v="2"/>
  </r>
  <r>
    <d v="2020-04-29T00:00:00"/>
    <x v="65"/>
    <x v="58"/>
    <x v="9"/>
    <x v="2"/>
  </r>
  <r>
    <d v="2020-04-30T00:00:00"/>
    <x v="66"/>
    <x v="59"/>
    <x v="10"/>
    <x v="2"/>
  </r>
  <r>
    <d v="2020-05-02T00:00:00"/>
    <x v="67"/>
    <x v="60"/>
    <x v="11"/>
    <x v="3"/>
  </r>
  <r>
    <d v="2020-05-03T00:00:00"/>
    <x v="68"/>
    <x v="61"/>
    <x v="12"/>
    <x v="3"/>
  </r>
  <r>
    <d v="2020-05-01T00:00:00"/>
    <x v="69"/>
    <x v="62"/>
    <x v="13"/>
    <x v="3"/>
  </r>
  <r>
    <d v="2020-03-10T00:00:00"/>
    <x v="70"/>
    <x v="63"/>
    <x v="0"/>
    <x v="1"/>
  </r>
  <r>
    <d v="2020-04-28T00:00:00"/>
    <x v="71"/>
    <x v="64"/>
    <x v="14"/>
    <x v="2"/>
  </r>
  <r>
    <d v="2020-03-09T00:00:00"/>
    <x v="72"/>
    <x v="65"/>
    <x v="0"/>
    <x v="1"/>
  </r>
  <r>
    <d v="2020-08-29T00:00:00"/>
    <x v="73"/>
    <x v="66"/>
    <x v="15"/>
    <x v="4"/>
  </r>
  <r>
    <d v="2020-05-07T00:00:00"/>
    <x v="74"/>
    <x v="67"/>
    <x v="16"/>
    <x v="3"/>
  </r>
  <r>
    <d v="2020-08-30T00:00:00"/>
    <x v="74"/>
    <x v="4"/>
    <x v="17"/>
    <x v="4"/>
  </r>
  <r>
    <d v="2020-08-28T00:00:00"/>
    <x v="75"/>
    <x v="3"/>
    <x v="18"/>
    <x v="4"/>
  </r>
  <r>
    <d v="2020-05-13T00:00:00"/>
    <x v="76"/>
    <x v="68"/>
    <x v="19"/>
    <x v="3"/>
  </r>
  <r>
    <d v="2020-05-08T00:00:00"/>
    <x v="77"/>
    <x v="69"/>
    <x v="20"/>
    <x v="3"/>
  </r>
  <r>
    <d v="2020-05-04T00:00:00"/>
    <x v="78"/>
    <x v="70"/>
    <x v="21"/>
    <x v="3"/>
  </r>
  <r>
    <d v="2020-08-27T00:00:00"/>
    <x v="79"/>
    <x v="71"/>
    <x v="22"/>
    <x v="4"/>
  </r>
  <r>
    <d v="2020-05-11T00:00:00"/>
    <x v="80"/>
    <x v="72"/>
    <x v="23"/>
    <x v="0"/>
  </r>
  <r>
    <d v="2020-05-12T00:00:00"/>
    <x v="81"/>
    <x v="73"/>
    <x v="24"/>
    <x v="0"/>
  </r>
  <r>
    <d v="2020-08-31T00:00:00"/>
    <x v="82"/>
    <x v="2"/>
    <x v="25"/>
    <x v="4"/>
  </r>
  <r>
    <d v="2020-05-14T00:00:00"/>
    <x v="83"/>
    <x v="74"/>
    <x v="26"/>
    <x v="0"/>
  </r>
  <r>
    <d v="2020-05-15T00:00:00"/>
    <x v="84"/>
    <x v="75"/>
    <x v="27"/>
    <x v="0"/>
  </r>
  <r>
    <d v="2020-05-16T00:00:00"/>
    <x v="85"/>
    <x v="76"/>
    <x v="28"/>
    <x v="0"/>
  </r>
  <r>
    <d v="2020-05-17T00:00:00"/>
    <x v="86"/>
    <x v="77"/>
    <x v="29"/>
    <x v="0"/>
  </r>
  <r>
    <d v="2020-05-18T00:00:00"/>
    <x v="87"/>
    <x v="78"/>
    <x v="30"/>
    <x v="0"/>
  </r>
  <r>
    <d v="2020-05-19T00:00:00"/>
    <x v="88"/>
    <x v="79"/>
    <x v="31"/>
    <x v="0"/>
  </r>
  <r>
    <d v="2020-05-20T00:00:00"/>
    <x v="89"/>
    <x v="80"/>
    <x v="32"/>
    <x v="0"/>
  </r>
  <r>
    <d v="2020-05-21T00:00:00"/>
    <x v="90"/>
    <x v="81"/>
    <x v="33"/>
    <x v="0"/>
  </r>
  <r>
    <d v="2020-05-22T00:00:00"/>
    <x v="91"/>
    <x v="82"/>
    <x v="34"/>
    <x v="0"/>
  </r>
  <r>
    <d v="2020-05-23T00:00:00"/>
    <x v="92"/>
    <x v="83"/>
    <x v="35"/>
    <x v="0"/>
  </r>
  <r>
    <d v="2020-05-24T00:00:00"/>
    <x v="93"/>
    <x v="84"/>
    <x v="36"/>
    <x v="0"/>
  </r>
  <r>
    <d v="2020-05-25T00:00:00"/>
    <x v="94"/>
    <x v="85"/>
    <x v="37"/>
    <x v="0"/>
  </r>
  <r>
    <d v="2020-05-26T00:00:00"/>
    <x v="95"/>
    <x v="86"/>
    <x v="38"/>
    <x v="0"/>
  </r>
  <r>
    <d v="2020-05-27T00:00:00"/>
    <x v="96"/>
    <x v="87"/>
    <x v="39"/>
    <x v="0"/>
  </r>
  <r>
    <d v="2020-05-28T00:00:00"/>
    <x v="97"/>
    <x v="88"/>
    <x v="40"/>
    <x v="0"/>
  </r>
  <r>
    <d v="2020-05-29T00:00:00"/>
    <x v="98"/>
    <x v="89"/>
    <x v="41"/>
    <x v="0"/>
  </r>
  <r>
    <d v="2020-05-30T00:00:00"/>
    <x v="99"/>
    <x v="90"/>
    <x v="42"/>
    <x v="0"/>
  </r>
  <r>
    <d v="2020-05-31T00:00:00"/>
    <x v="100"/>
    <x v="91"/>
    <x v="43"/>
    <x v="0"/>
  </r>
  <r>
    <d v="2020-06-01T00:00:00"/>
    <x v="101"/>
    <x v="92"/>
    <x v="44"/>
    <x v="0"/>
  </r>
  <r>
    <d v="2020-06-02T00:00:00"/>
    <x v="102"/>
    <x v="93"/>
    <x v="45"/>
    <x v="0"/>
  </r>
  <r>
    <d v="2020-06-03T00:00:00"/>
    <x v="103"/>
    <x v="94"/>
    <x v="46"/>
    <x v="0"/>
  </r>
  <r>
    <d v="2020-06-04T00:00:00"/>
    <x v="104"/>
    <x v="95"/>
    <x v="47"/>
    <x v="0"/>
  </r>
  <r>
    <d v="2020-06-05T00:00:00"/>
    <x v="105"/>
    <x v="96"/>
    <x v="48"/>
    <x v="0"/>
  </r>
  <r>
    <d v="2020-06-06T00:00:00"/>
    <x v="106"/>
    <x v="97"/>
    <x v="49"/>
    <x v="0"/>
  </r>
  <r>
    <d v="2020-06-07T00:00:00"/>
    <x v="107"/>
    <x v="98"/>
    <x v="50"/>
    <x v="0"/>
  </r>
  <r>
    <d v="2020-06-08T00:00:00"/>
    <x v="108"/>
    <x v="99"/>
    <x v="51"/>
    <x v="0"/>
  </r>
  <r>
    <d v="2020-06-09T00:00:00"/>
    <x v="109"/>
    <x v="100"/>
    <x v="52"/>
    <x v="0"/>
  </r>
  <r>
    <d v="2020-06-10T00:00:00"/>
    <x v="110"/>
    <x v="101"/>
    <x v="53"/>
    <x v="0"/>
  </r>
  <r>
    <d v="2020-06-11T00:00:00"/>
    <x v="111"/>
    <x v="95"/>
    <x v="54"/>
    <x v="0"/>
  </r>
  <r>
    <d v="2020-06-12T00:00:00"/>
    <x v="112"/>
    <x v="99"/>
    <x v="55"/>
    <x v="0"/>
  </r>
  <r>
    <d v="2020-06-13T00:00:00"/>
    <x v="113"/>
    <x v="102"/>
    <x v="56"/>
    <x v="0"/>
  </r>
  <r>
    <d v="2020-06-14T00:00:00"/>
    <x v="114"/>
    <x v="87"/>
    <x v="57"/>
    <x v="0"/>
  </r>
  <r>
    <d v="2020-06-15T00:00:00"/>
    <x v="115"/>
    <x v="103"/>
    <x v="58"/>
    <x v="0"/>
  </r>
  <r>
    <d v="2020-06-16T00:00:00"/>
    <x v="116"/>
    <x v="104"/>
    <x v="59"/>
    <x v="0"/>
  </r>
  <r>
    <d v="2020-06-17T00:00:00"/>
    <x v="117"/>
    <x v="105"/>
    <x v="60"/>
    <x v="0"/>
  </r>
  <r>
    <d v="2020-06-18T00:00:00"/>
    <x v="118"/>
    <x v="106"/>
    <x v="61"/>
    <x v="0"/>
  </r>
  <r>
    <d v="2020-06-19T00:00:00"/>
    <x v="119"/>
    <x v="107"/>
    <x v="62"/>
    <x v="0"/>
  </r>
  <r>
    <d v="2020-06-20T00:00:00"/>
    <x v="120"/>
    <x v="108"/>
    <x v="63"/>
    <x v="0"/>
  </r>
  <r>
    <d v="2020-06-21T00:00:00"/>
    <x v="121"/>
    <x v="11"/>
    <x v="64"/>
    <x v="0"/>
  </r>
  <r>
    <d v="2020-06-22T00:00:00"/>
    <x v="122"/>
    <x v="109"/>
    <x v="65"/>
    <x v="0"/>
  </r>
  <r>
    <d v="2020-06-23T00:00:00"/>
    <x v="123"/>
    <x v="110"/>
    <x v="66"/>
    <x v="0"/>
  </r>
  <r>
    <d v="2020-06-24T00:00:00"/>
    <x v="124"/>
    <x v="111"/>
    <x v="67"/>
    <x v="0"/>
  </r>
  <r>
    <d v="2020-06-25T00:00:00"/>
    <x v="125"/>
    <x v="112"/>
    <x v="68"/>
    <x v="0"/>
  </r>
  <r>
    <d v="2020-06-26T00:00:00"/>
    <x v="126"/>
    <x v="105"/>
    <x v="69"/>
    <x v="0"/>
  </r>
  <r>
    <d v="2020-06-27T00:00:00"/>
    <x v="127"/>
    <x v="113"/>
    <x v="70"/>
    <x v="0"/>
  </r>
  <r>
    <d v="2020-06-28T00:00:00"/>
    <x v="128"/>
    <x v="5"/>
    <x v="71"/>
    <x v="0"/>
  </r>
  <r>
    <d v="2020-06-29T00:00:00"/>
    <x v="129"/>
    <x v="114"/>
    <x v="72"/>
    <x v="0"/>
  </r>
  <r>
    <d v="2020-06-30T00:00:00"/>
    <x v="130"/>
    <x v="6"/>
    <x v="73"/>
    <x v="0"/>
  </r>
  <r>
    <d v="2020-07-01T00:00:00"/>
    <x v="131"/>
    <x v="110"/>
    <x v="74"/>
    <x v="0"/>
  </r>
  <r>
    <d v="2020-07-02T00:00:00"/>
    <x v="132"/>
    <x v="115"/>
    <x v="75"/>
    <x v="0"/>
  </r>
  <r>
    <d v="2020-07-03T00:00:00"/>
    <x v="133"/>
    <x v="113"/>
    <x v="76"/>
    <x v="0"/>
  </r>
  <r>
    <d v="2020-07-04T00:00:00"/>
    <x v="134"/>
    <x v="116"/>
    <x v="77"/>
    <x v="0"/>
  </r>
  <r>
    <d v="2020-07-05T00:00:00"/>
    <x v="135"/>
    <x v="115"/>
    <x v="78"/>
    <x v="0"/>
  </r>
  <r>
    <d v="2020-07-06T00:00:00"/>
    <x v="136"/>
    <x v="117"/>
    <x v="79"/>
    <x v="0"/>
  </r>
  <r>
    <d v="2020-07-07T00:00:00"/>
    <x v="137"/>
    <x v="5"/>
    <x v="80"/>
    <x v="0"/>
  </r>
  <r>
    <d v="2020-07-08T00:00:00"/>
    <x v="138"/>
    <x v="113"/>
    <x v="81"/>
    <x v="0"/>
  </r>
  <r>
    <d v="2020-07-09T00:00:00"/>
    <x v="139"/>
    <x v="116"/>
    <x v="82"/>
    <x v="0"/>
  </r>
  <r>
    <d v="2020-07-10T00:00:00"/>
    <x v="140"/>
    <x v="118"/>
    <x v="83"/>
    <x v="0"/>
  </r>
  <r>
    <d v="2020-07-11T00:00:00"/>
    <x v="141"/>
    <x v="118"/>
    <x v="84"/>
    <x v="0"/>
  </r>
  <r>
    <d v="2020-07-12T00:00:00"/>
    <x v="142"/>
    <x v="117"/>
    <x v="85"/>
    <x v="0"/>
  </r>
  <r>
    <d v="2020-07-13T00:00:00"/>
    <x v="143"/>
    <x v="66"/>
    <x v="86"/>
    <x v="0"/>
  </r>
  <r>
    <d v="2020-07-14T00:00:00"/>
    <x v="144"/>
    <x v="71"/>
    <x v="87"/>
    <x v="0"/>
  </r>
  <r>
    <d v="2020-07-15T00:00:00"/>
    <x v="145"/>
    <x v="7"/>
    <x v="88"/>
    <x v="0"/>
  </r>
  <r>
    <d v="2020-07-16T00:00:00"/>
    <x v="146"/>
    <x v="71"/>
    <x v="89"/>
    <x v="0"/>
  </r>
  <r>
    <d v="2020-07-17T00:00:00"/>
    <x v="147"/>
    <x v="119"/>
    <x v="90"/>
    <x v="0"/>
  </r>
  <r>
    <d v="2020-07-18T00:00:00"/>
    <x v="148"/>
    <x v="120"/>
    <x v="91"/>
    <x v="0"/>
  </r>
  <r>
    <d v="2020-07-19T00:00:00"/>
    <x v="149"/>
    <x v="121"/>
    <x v="92"/>
    <x v="0"/>
  </r>
  <r>
    <d v="2020-07-20T00:00:00"/>
    <x v="150"/>
    <x v="122"/>
    <x v="93"/>
    <x v="0"/>
  </r>
  <r>
    <d v="2020-07-21T00:00:00"/>
    <x v="151"/>
    <x v="71"/>
    <x v="94"/>
    <x v="0"/>
  </r>
  <r>
    <d v="2020-07-22T00:00:00"/>
    <x v="152"/>
    <x v="116"/>
    <x v="95"/>
    <x v="0"/>
  </r>
  <r>
    <d v="2020-07-23T00:00:00"/>
    <x v="109"/>
    <x v="66"/>
    <x v="96"/>
    <x v="0"/>
  </r>
  <r>
    <d v="2020-07-24T00:00:00"/>
    <x v="153"/>
    <x v="123"/>
    <x v="97"/>
    <x v="0"/>
  </r>
  <r>
    <d v="2020-07-25T00:00:00"/>
    <x v="154"/>
    <x v="3"/>
    <x v="98"/>
    <x v="0"/>
  </r>
  <r>
    <d v="2020-07-26T00:00:00"/>
    <x v="155"/>
    <x v="3"/>
    <x v="99"/>
    <x v="0"/>
  </r>
  <r>
    <d v="2020-07-27T00:00:00"/>
    <x v="156"/>
    <x v="3"/>
    <x v="100"/>
    <x v="0"/>
  </r>
  <r>
    <d v="2020-07-28T00:00:00"/>
    <x v="157"/>
    <x v="3"/>
    <x v="101"/>
    <x v="0"/>
  </r>
  <r>
    <d v="2020-07-29T00:00:00"/>
    <x v="111"/>
    <x v="120"/>
    <x v="102"/>
    <x v="0"/>
  </r>
  <r>
    <d v="2020-07-30T00:00:00"/>
    <x v="158"/>
    <x v="6"/>
    <x v="103"/>
    <x v="0"/>
  </r>
  <r>
    <d v="2020-07-31T00:00:00"/>
    <x v="159"/>
    <x v="122"/>
    <x v="104"/>
    <x v="0"/>
  </r>
  <r>
    <d v="2020-08-01T00:00:00"/>
    <x v="112"/>
    <x v="66"/>
    <x v="105"/>
    <x v="0"/>
  </r>
  <r>
    <d v="2020-08-02T00:00:00"/>
    <x v="160"/>
    <x v="3"/>
    <x v="106"/>
    <x v="0"/>
  </r>
  <r>
    <d v="2020-08-03T00:00:00"/>
    <x v="9"/>
    <x v="5"/>
    <x v="107"/>
    <x v="0"/>
  </r>
  <r>
    <d v="2020-08-04T00:00:00"/>
    <x v="161"/>
    <x v="118"/>
    <x v="108"/>
    <x v="0"/>
  </r>
  <r>
    <d v="2020-08-05T00:00:00"/>
    <x v="151"/>
    <x v="3"/>
    <x v="109"/>
    <x v="0"/>
  </r>
  <r>
    <d v="2020-08-06T00:00:00"/>
    <x v="162"/>
    <x v="123"/>
    <x v="110"/>
    <x v="0"/>
  </r>
  <r>
    <d v="2020-08-07T00:00:00"/>
    <x v="163"/>
    <x v="6"/>
    <x v="111"/>
    <x v="0"/>
  </r>
  <r>
    <d v="2020-08-08T00:00:00"/>
    <x v="164"/>
    <x v="122"/>
    <x v="112"/>
    <x v="0"/>
  </r>
  <r>
    <d v="2020-08-09T00:00:00"/>
    <x v="12"/>
    <x v="71"/>
    <x v="113"/>
    <x v="0"/>
  </r>
  <r>
    <d v="2020-08-10T00:00:00"/>
    <x v="165"/>
    <x v="1"/>
    <x v="114"/>
    <x v="0"/>
  </r>
  <r>
    <d v="2020-08-11T00:00:00"/>
    <x v="166"/>
    <x v="2"/>
    <x v="115"/>
    <x v="0"/>
  </r>
  <r>
    <d v="2020-08-12T00:00:00"/>
    <x v="167"/>
    <x v="6"/>
    <x v="116"/>
    <x v="0"/>
  </r>
  <r>
    <d v="2020-08-13T00:00:00"/>
    <x v="168"/>
    <x v="123"/>
    <x v="117"/>
    <x v="0"/>
  </r>
  <r>
    <d v="2020-08-14T00:00:00"/>
    <x v="169"/>
    <x v="6"/>
    <x v="118"/>
    <x v="0"/>
  </r>
  <r>
    <d v="2020-08-15T00:00:00"/>
    <x v="170"/>
    <x v="122"/>
    <x v="119"/>
    <x v="0"/>
  </r>
  <r>
    <d v="2020-08-16T00:00:00"/>
    <x v="171"/>
    <x v="124"/>
    <x v="120"/>
    <x v="0"/>
  </r>
  <r>
    <d v="2020-08-17T00:00:00"/>
    <x v="172"/>
    <x v="2"/>
    <x v="121"/>
    <x v="0"/>
  </r>
  <r>
    <d v="2020-08-18T00:00:00"/>
    <x v="173"/>
    <x v="2"/>
    <x v="122"/>
    <x v="0"/>
  </r>
  <r>
    <d v="2020-08-19T00:00:00"/>
    <x v="163"/>
    <x v="3"/>
    <x v="123"/>
    <x v="0"/>
  </r>
  <r>
    <d v="2020-08-20T00:00:00"/>
    <x v="91"/>
    <x v="117"/>
    <x v="124"/>
    <x v="0"/>
  </r>
  <r>
    <d v="2020-08-21T00:00:00"/>
    <x v="174"/>
    <x v="6"/>
    <x v="125"/>
    <x v="0"/>
  </r>
  <r>
    <d v="2020-08-22T00:00:00"/>
    <x v="175"/>
    <x v="66"/>
    <x v="126"/>
    <x v="0"/>
  </r>
  <r>
    <d v="2020-05-09T00:00:00"/>
    <x v="176"/>
    <x v="125"/>
    <x v="127"/>
    <x v="3"/>
  </r>
  <r>
    <d v="2020-09-03T00:00:00"/>
    <x v="177"/>
    <x v="6"/>
    <x v="0"/>
    <x v="5"/>
  </r>
  <r>
    <d v="2020-08-25T00:00:00"/>
    <x v="178"/>
    <x v="2"/>
    <x v="128"/>
    <x v="0"/>
  </r>
  <r>
    <d v="2020-08-26T00:00:00"/>
    <x v="179"/>
    <x v="2"/>
    <x v="129"/>
    <x v="0"/>
  </r>
  <r>
    <d v="2020-03-08T00:00:00"/>
    <x v="180"/>
    <x v="126"/>
    <x v="0"/>
    <x v="1"/>
  </r>
  <r>
    <d v="2020-05-05T00:00:00"/>
    <x v="181"/>
    <x v="74"/>
    <x v="130"/>
    <x v="3"/>
  </r>
  <r>
    <d v="2020-08-24T00:00:00"/>
    <x v="182"/>
    <x v="117"/>
    <x v="131"/>
    <x v="4"/>
  </r>
  <r>
    <d v="2020-05-10T00:00:00"/>
    <x v="183"/>
    <x v="127"/>
    <x v="132"/>
    <x v="3"/>
  </r>
  <r>
    <d v="2020-05-06T00:00:00"/>
    <x v="184"/>
    <x v="128"/>
    <x v="133"/>
    <x v="3"/>
  </r>
  <r>
    <d v="2020-09-01T00:00:00"/>
    <x v="185"/>
    <x v="6"/>
    <x v="134"/>
    <x v="0"/>
  </r>
  <r>
    <d v="2020-09-02T00:00:00"/>
    <x v="186"/>
    <x v="5"/>
    <x v="0"/>
    <x v="0"/>
  </r>
  <r>
    <d v="2020-08-23T00:00:00"/>
    <x v="187"/>
    <x v="122"/>
    <x v="135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02FDCD-E50E-F143-B7FE-B56C1A510B63}" name="PivotTable1" cacheId="5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Month">
  <location ref="A3:D10" firstHeaderRow="0" firstDataRow="1" firstDataCol="1"/>
  <pivotFields count="5">
    <pivotField numFmtId="14" showAll="0"/>
    <pivotField dataField="1" showAll="0">
      <items count="189">
        <item x="120"/>
        <item x="0"/>
        <item x="1"/>
        <item x="2"/>
        <item x="4"/>
        <item x="3"/>
        <item x="7"/>
        <item x="6"/>
        <item x="5"/>
        <item x="124"/>
        <item x="145"/>
        <item x="130"/>
        <item x="152"/>
        <item x="138"/>
        <item x="131"/>
        <item x="161"/>
        <item x="146"/>
        <item x="113"/>
        <item x="157"/>
        <item x="144"/>
        <item x="129"/>
        <item x="128"/>
        <item x="105"/>
        <item x="102"/>
        <item x="132"/>
        <item x="142"/>
        <item x="151"/>
        <item x="136"/>
        <item x="139"/>
        <item x="108"/>
        <item x="133"/>
        <item x="111"/>
        <item x="137"/>
        <item x="117"/>
        <item x="140"/>
        <item x="150"/>
        <item x="123"/>
        <item x="134"/>
        <item x="122"/>
        <item x="147"/>
        <item x="148"/>
        <item x="143"/>
        <item x="135"/>
        <item x="9"/>
        <item x="10"/>
        <item x="149"/>
        <item x="8"/>
        <item x="154"/>
        <item x="156"/>
        <item x="127"/>
        <item x="166"/>
        <item x="121"/>
        <item x="107"/>
        <item x="155"/>
        <item x="141"/>
        <item x="109"/>
        <item x="110"/>
        <item x="158"/>
        <item x="160"/>
        <item x="126"/>
        <item x="95"/>
        <item x="116"/>
        <item x="153"/>
        <item x="103"/>
        <item x="173"/>
        <item x="104"/>
        <item x="118"/>
        <item x="119"/>
        <item x="115"/>
        <item x="114"/>
        <item x="12"/>
        <item x="101"/>
        <item x="112"/>
        <item x="159"/>
        <item x="162"/>
        <item x="96"/>
        <item x="163"/>
        <item x="167"/>
        <item x="100"/>
        <item x="88"/>
        <item x="165"/>
        <item x="13"/>
        <item x="168"/>
        <item x="172"/>
        <item x="99"/>
        <item x="106"/>
        <item x="169"/>
        <item x="94"/>
        <item x="164"/>
        <item x="11"/>
        <item x="170"/>
        <item x="125"/>
        <item x="97"/>
        <item x="14"/>
        <item x="98"/>
        <item x="171"/>
        <item x="91"/>
        <item x="92"/>
        <item x="90"/>
        <item x="93"/>
        <item x="87"/>
        <item x="81"/>
        <item x="15"/>
        <item x="16"/>
        <item x="85"/>
        <item x="80"/>
        <item x="89"/>
        <item x="174"/>
        <item x="86"/>
        <item x="179"/>
        <item x="83"/>
        <item x="175"/>
        <item x="178"/>
        <item x="186"/>
        <item x="20"/>
        <item x="84"/>
        <item x="185"/>
        <item x="187"/>
        <item x="184"/>
        <item x="183"/>
        <item x="182"/>
        <item x="181"/>
        <item x="180"/>
        <item x="177"/>
        <item x="176"/>
        <item x="82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19"/>
        <item x="18"/>
        <item x="17"/>
        <item t="default"/>
      </items>
    </pivotField>
    <pivotField dataField="1" showAll="0">
      <items count="130">
        <item x="112"/>
        <item x="0"/>
        <item x="4"/>
        <item x="1"/>
        <item x="122"/>
        <item x="2"/>
        <item x="3"/>
        <item x="6"/>
        <item x="117"/>
        <item x="5"/>
        <item x="66"/>
        <item x="123"/>
        <item x="120"/>
        <item x="118"/>
        <item x="71"/>
        <item x="121"/>
        <item x="116"/>
        <item x="7"/>
        <item x="111"/>
        <item x="119"/>
        <item x="115"/>
        <item x="114"/>
        <item x="110"/>
        <item x="109"/>
        <item x="104"/>
        <item x="9"/>
        <item x="8"/>
        <item x="113"/>
        <item x="105"/>
        <item x="126"/>
        <item x="10"/>
        <item x="106"/>
        <item x="103"/>
        <item x="108"/>
        <item x="11"/>
        <item x="85"/>
        <item x="99"/>
        <item x="94"/>
        <item x="102"/>
        <item x="93"/>
        <item x="100"/>
        <item x="107"/>
        <item x="89"/>
        <item x="95"/>
        <item x="98"/>
        <item x="92"/>
        <item x="87"/>
        <item x="101"/>
        <item x="97"/>
        <item x="90"/>
        <item x="96"/>
        <item x="86"/>
        <item x="63"/>
        <item x="79"/>
        <item x="91"/>
        <item x="88"/>
        <item x="84"/>
        <item x="83"/>
        <item x="65"/>
        <item x="78"/>
        <item x="77"/>
        <item x="82"/>
        <item x="124"/>
        <item x="81"/>
        <item x="80"/>
        <item x="72"/>
        <item x="15"/>
        <item x="68"/>
        <item x="40"/>
        <item x="70"/>
        <item x="73"/>
        <item x="51"/>
        <item x="127"/>
        <item x="74"/>
        <item x="56"/>
        <item x="128"/>
        <item x="76"/>
        <item x="125"/>
        <item x="53"/>
        <item x="55"/>
        <item x="75"/>
        <item x="60"/>
        <item x="69"/>
        <item x="62"/>
        <item x="59"/>
        <item x="64"/>
        <item x="35"/>
        <item x="67"/>
        <item x="48"/>
        <item x="58"/>
        <item x="54"/>
        <item x="47"/>
        <item x="19"/>
        <item x="32"/>
        <item x="45"/>
        <item x="43"/>
        <item x="57"/>
        <item x="52"/>
        <item x="30"/>
        <item x="61"/>
        <item x="42"/>
        <item x="38"/>
        <item x="29"/>
        <item x="49"/>
        <item x="37"/>
        <item x="44"/>
        <item x="36"/>
        <item x="41"/>
        <item x="50"/>
        <item x="24"/>
        <item x="46"/>
        <item x="31"/>
        <item x="26"/>
        <item x="14"/>
        <item x="39"/>
        <item x="18"/>
        <item x="13"/>
        <item x="23"/>
        <item x="22"/>
        <item x="25"/>
        <item x="20"/>
        <item x="21"/>
        <item x="27"/>
        <item x="28"/>
        <item x="12"/>
        <item x="34"/>
        <item x="33"/>
        <item x="16"/>
        <item x="17"/>
        <item t="default"/>
      </items>
    </pivotField>
    <pivotField dataField="1" showAll="0">
      <items count="137">
        <item x="2"/>
        <item x="114"/>
        <item x="107"/>
        <item x="16"/>
        <item x="79"/>
        <item x="86"/>
        <item x="93"/>
        <item x="72"/>
        <item x="65"/>
        <item x="51"/>
        <item x="58"/>
        <item x="44"/>
        <item x="100"/>
        <item x="46"/>
        <item x="92"/>
        <item x="37"/>
        <item x="78"/>
        <item x="71"/>
        <item x="121"/>
        <item x="115"/>
        <item x="120"/>
        <item x="80"/>
        <item x="113"/>
        <item x="21"/>
        <item x="85"/>
        <item x="66"/>
        <item x="108"/>
        <item x="94"/>
        <item x="6"/>
        <item x="87"/>
        <item x="106"/>
        <item x="64"/>
        <item x="118"/>
        <item x="99"/>
        <item x="101"/>
        <item x="84"/>
        <item x="45"/>
        <item x="117"/>
        <item x="76"/>
        <item x="23"/>
        <item x="119"/>
        <item x="30"/>
        <item x="112"/>
        <item x="7"/>
        <item x="12"/>
        <item x="83"/>
        <item x="116"/>
        <item x="47"/>
        <item x="91"/>
        <item x="59"/>
        <item x="50"/>
        <item x="98"/>
        <item x="89"/>
        <item x="8"/>
        <item x="69"/>
        <item x="88"/>
        <item x="73"/>
        <item x="62"/>
        <item x="90"/>
        <item x="81"/>
        <item x="77"/>
        <item x="43"/>
        <item x="97"/>
        <item x="75"/>
        <item x="95"/>
        <item x="74"/>
        <item x="68"/>
        <item x="57"/>
        <item x="104"/>
        <item x="70"/>
        <item x="109"/>
        <item x="63"/>
        <item x="82"/>
        <item x="67"/>
        <item x="111"/>
        <item x="102"/>
        <item x="11"/>
        <item x="132"/>
        <item x="105"/>
        <item x="110"/>
        <item x="52"/>
        <item x="130"/>
        <item x="122"/>
        <item x="56"/>
        <item x="61"/>
        <item x="54"/>
        <item x="96"/>
        <item x="131"/>
        <item x="103"/>
        <item x="29"/>
        <item x="38"/>
        <item x="60"/>
        <item x="49"/>
        <item x="36"/>
        <item x="42"/>
        <item x="127"/>
        <item x="19"/>
        <item x="1"/>
        <item x="39"/>
        <item x="14"/>
        <item x="55"/>
        <item x="133"/>
        <item x="53"/>
        <item x="41"/>
        <item x="9"/>
        <item x="32"/>
        <item x="3"/>
        <item x="27"/>
        <item x="24"/>
        <item x="40"/>
        <item x="31"/>
        <item x="48"/>
        <item x="33"/>
        <item x="28"/>
        <item x="26"/>
        <item x="123"/>
        <item x="10"/>
        <item x="35"/>
        <item x="25"/>
        <item x="34"/>
        <item x="13"/>
        <item x="4"/>
        <item x="125"/>
        <item x="20"/>
        <item x="128"/>
        <item x="126"/>
        <item x="135"/>
        <item x="124"/>
        <item x="17"/>
        <item x="134"/>
        <item x="22"/>
        <item x="129"/>
        <item x="15"/>
        <item x="18"/>
        <item x="5"/>
        <item x="0"/>
        <item t="default"/>
      </items>
    </pivotField>
    <pivotField axis="axisRow" showAll="0">
      <items count="7">
        <item x="1"/>
        <item x="2"/>
        <item x="3"/>
        <item x="4"/>
        <item x="5"/>
        <item x="0"/>
        <item t="default"/>
      </items>
    </pivotField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New Cases" fld="1" baseField="0" baseItem="0"/>
    <dataField name="Sum of New Deaths" fld="2" baseField="0" baseItem="0"/>
    <dataField name="Sum of New Tests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italy-covid-daywise" connectionId="2" xr16:uid="{C65976BC-EC65-2148-9FEB-9AE605DE273A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locations" connectionId="3" xr16:uid="{72BAD861-F341-BB44-BF70-4DAF4AEDEAC4}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Iris" connectionId="1" xr16:uid="{1126266D-EDB1-CD44-A5FD-5439AACC4989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3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7CDB9-D2E7-234E-B2FB-FEB7F5BCDDF1}">
  <dimension ref="A1:C6"/>
  <sheetViews>
    <sheetView zoomScale="168" zoomScaleNormal="168" workbookViewId="0">
      <selection sqref="A1:C6"/>
    </sheetView>
  </sheetViews>
  <sheetFormatPr baseColWidth="10" defaultRowHeight="16" x14ac:dyDescent="0.2"/>
  <sheetData>
    <row r="1" spans="1:3" s="2" customFormat="1" x14ac:dyDescent="0.2">
      <c r="A1" s="2" t="s">
        <v>0</v>
      </c>
      <c r="B1" s="2" t="s">
        <v>1</v>
      </c>
      <c r="C1" s="2" t="s">
        <v>2</v>
      </c>
    </row>
    <row r="2" spans="1:3" x14ac:dyDescent="0.2">
      <c r="A2" s="3">
        <v>10000</v>
      </c>
      <c r="B2" s="4">
        <v>0.23</v>
      </c>
      <c r="C2" s="3">
        <f>A2*B2</f>
        <v>2300</v>
      </c>
    </row>
    <row r="3" spans="1:3" x14ac:dyDescent="0.2">
      <c r="A3" s="3">
        <v>15000</v>
      </c>
      <c r="B3" s="4">
        <v>0.11</v>
      </c>
      <c r="C3" s="3"/>
    </row>
    <row r="4" spans="1:3" x14ac:dyDescent="0.2">
      <c r="A4" s="3">
        <v>12000</v>
      </c>
      <c r="B4" s="4">
        <v>0.27</v>
      </c>
      <c r="C4" s="3"/>
    </row>
    <row r="5" spans="1:3" x14ac:dyDescent="0.2">
      <c r="A5" s="3">
        <v>13500</v>
      </c>
      <c r="B5" s="4">
        <v>0.18</v>
      </c>
      <c r="C5" s="3"/>
    </row>
    <row r="6" spans="1:3" x14ac:dyDescent="0.2">
      <c r="A6" s="3">
        <v>17250</v>
      </c>
      <c r="B6" s="4">
        <v>0.09</v>
      </c>
      <c r="C6" s="3"/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FB935-1D5A-5841-8BE9-29326173930C}">
  <dimension ref="A1:C5"/>
  <sheetViews>
    <sheetView zoomScale="200" workbookViewId="0">
      <selection activeCell="B5" sqref="B5"/>
    </sheetView>
  </sheetViews>
  <sheetFormatPr baseColWidth="10" defaultRowHeight="16" x14ac:dyDescent="0.2"/>
  <sheetData>
    <row r="1" spans="1:3" x14ac:dyDescent="0.2">
      <c r="A1" s="9" t="s">
        <v>4</v>
      </c>
      <c r="B1" s="9" t="s">
        <v>3</v>
      </c>
    </row>
    <row r="3" spans="1:3" x14ac:dyDescent="0.2">
      <c r="A3" t="s">
        <v>5</v>
      </c>
      <c r="B3" s="9" t="s">
        <v>3</v>
      </c>
      <c r="C3">
        <v>42</v>
      </c>
    </row>
    <row r="5" spans="1:3" ht="68" x14ac:dyDescent="0.2">
      <c r="A5" t="s">
        <v>6</v>
      </c>
      <c r="B5" s="10" t="s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25B3C-5DF1-CB41-B26B-737B20AABF1C}">
  <dimension ref="B1:D7"/>
  <sheetViews>
    <sheetView zoomScale="200" workbookViewId="0">
      <selection activeCell="B11" sqref="B11"/>
    </sheetView>
  </sheetViews>
  <sheetFormatPr baseColWidth="10" defaultRowHeight="16" x14ac:dyDescent="0.2"/>
  <sheetData>
    <row r="1" spans="2:4" ht="17" thickBot="1" x14ac:dyDescent="0.25"/>
    <row r="2" spans="2:4" ht="17" thickBot="1" x14ac:dyDescent="0.25">
      <c r="B2" s="13" t="s">
        <v>0</v>
      </c>
      <c r="C2" s="14" t="s">
        <v>1</v>
      </c>
      <c r="D2" s="15" t="s">
        <v>2</v>
      </c>
    </row>
    <row r="3" spans="2:4" x14ac:dyDescent="0.2">
      <c r="B3" s="11">
        <v>10000</v>
      </c>
      <c r="C3" s="7">
        <v>0.23</v>
      </c>
      <c r="D3" s="5">
        <f>B3*C3</f>
        <v>2300</v>
      </c>
    </row>
    <row r="4" spans="2:4" x14ac:dyDescent="0.2">
      <c r="B4" s="11">
        <v>15000</v>
      </c>
      <c r="C4" s="7">
        <v>0.11</v>
      </c>
      <c r="D4" s="5"/>
    </row>
    <row r="5" spans="2:4" x14ac:dyDescent="0.2">
      <c r="B5" s="11">
        <v>12000</v>
      </c>
      <c r="C5" s="7">
        <v>0.27</v>
      </c>
      <c r="D5" s="5"/>
    </row>
    <row r="6" spans="2:4" x14ac:dyDescent="0.2">
      <c r="B6" s="11">
        <v>13500</v>
      </c>
      <c r="C6" s="7">
        <v>0.18</v>
      </c>
      <c r="D6" s="5"/>
    </row>
    <row r="7" spans="2:4" ht="17" thickBot="1" x14ac:dyDescent="0.25">
      <c r="B7" s="12">
        <v>17250</v>
      </c>
      <c r="C7" s="8">
        <v>0.09</v>
      </c>
      <c r="D7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0F78F-6BE1-9D4F-A721-9FB4292FC005}">
  <dimension ref="A1:D7"/>
  <sheetViews>
    <sheetView zoomScale="222" workbookViewId="0">
      <selection activeCell="D8" sqref="D8"/>
    </sheetView>
  </sheetViews>
  <sheetFormatPr baseColWidth="10" defaultRowHeight="16" x14ac:dyDescent="0.2"/>
  <sheetData>
    <row r="1" spans="1:4" x14ac:dyDescent="0.2">
      <c r="A1">
        <v>21</v>
      </c>
      <c r="C1" t="s">
        <v>7</v>
      </c>
      <c r="D1">
        <f>A1*A2</f>
        <v>483</v>
      </c>
    </row>
    <row r="2" spans="1:4" x14ac:dyDescent="0.2">
      <c r="A2">
        <v>23</v>
      </c>
      <c r="C2" t="s">
        <v>8</v>
      </c>
      <c r="D2">
        <f>A1-A2</f>
        <v>-2</v>
      </c>
    </row>
    <row r="3" spans="1:4" x14ac:dyDescent="0.2">
      <c r="C3" t="s">
        <v>9</v>
      </c>
      <c r="D3">
        <f>A1*A2</f>
        <v>483</v>
      </c>
    </row>
    <row r="4" spans="1:4" x14ac:dyDescent="0.2">
      <c r="C4" t="s">
        <v>10</v>
      </c>
      <c r="D4">
        <f>A1/A2</f>
        <v>0.91304347826086951</v>
      </c>
    </row>
    <row r="5" spans="1:4" x14ac:dyDescent="0.2">
      <c r="C5" t="s">
        <v>11</v>
      </c>
      <c r="D5">
        <f>A1*10%</f>
        <v>2.1</v>
      </c>
    </row>
    <row r="6" spans="1:4" x14ac:dyDescent="0.2">
      <c r="C6" t="s">
        <v>12</v>
      </c>
      <c r="D6">
        <f>A1^3</f>
        <v>9261</v>
      </c>
    </row>
    <row r="7" spans="1:4" x14ac:dyDescent="0.2">
      <c r="C7" t="s">
        <v>13</v>
      </c>
      <c r="D7">
        <f>A1^(1/3)</f>
        <v>2.7589241763811208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BD155-BD75-6649-8B26-E1251768BF88}">
  <dimension ref="A1:C6"/>
  <sheetViews>
    <sheetView zoomScale="207" workbookViewId="0">
      <selection activeCell="D5" sqref="D5"/>
    </sheetView>
  </sheetViews>
  <sheetFormatPr baseColWidth="10" defaultRowHeight="16" x14ac:dyDescent="0.2"/>
  <sheetData>
    <row r="1" spans="1:3" x14ac:dyDescent="0.2">
      <c r="A1" s="9" t="s">
        <v>0</v>
      </c>
      <c r="B1" s="9" t="s">
        <v>1</v>
      </c>
      <c r="C1" s="9" t="s">
        <v>2</v>
      </c>
    </row>
    <row r="2" spans="1:3" x14ac:dyDescent="0.2">
      <c r="A2" s="16">
        <v>10000</v>
      </c>
      <c r="B2" s="17">
        <v>0.23</v>
      </c>
      <c r="C2" s="16">
        <f>A2*B2</f>
        <v>2300</v>
      </c>
    </row>
    <row r="3" spans="1:3" x14ac:dyDescent="0.2">
      <c r="A3" s="16">
        <v>15000</v>
      </c>
      <c r="B3" s="17">
        <v>0.11</v>
      </c>
      <c r="C3" s="16">
        <f t="shared" ref="C3:C6" si="0">A3*B3</f>
        <v>1650</v>
      </c>
    </row>
    <row r="4" spans="1:3" x14ac:dyDescent="0.2">
      <c r="A4" s="16">
        <v>12000</v>
      </c>
      <c r="B4" s="17">
        <v>0.27</v>
      </c>
      <c r="C4" s="16">
        <f t="shared" si="0"/>
        <v>3240</v>
      </c>
    </row>
    <row r="5" spans="1:3" x14ac:dyDescent="0.2">
      <c r="A5" s="16">
        <v>13500</v>
      </c>
      <c r="B5" s="17">
        <v>0.18</v>
      </c>
      <c r="C5" s="16">
        <f>A5*B5</f>
        <v>2430</v>
      </c>
    </row>
    <row r="6" spans="1:3" x14ac:dyDescent="0.2">
      <c r="A6" s="16">
        <v>17250</v>
      </c>
      <c r="B6" s="17">
        <v>0.09</v>
      </c>
      <c r="C6" s="16">
        <f t="shared" si="0"/>
        <v>1552.5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85BD5-F5FD-5741-B3EB-4BB709F3DD2C}">
  <dimension ref="A1:C1"/>
  <sheetViews>
    <sheetView workbookViewId="0">
      <selection activeCell="C2" sqref="C2"/>
    </sheetView>
  </sheetViews>
  <sheetFormatPr baseColWidth="10" defaultRowHeight="16" x14ac:dyDescent="0.2"/>
  <sheetData>
    <row r="1" spans="1:3" x14ac:dyDescent="0.2">
      <c r="A1" t="s">
        <v>14</v>
      </c>
      <c r="B1" t="s">
        <v>15</v>
      </c>
      <c r="C1" t="s">
        <v>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3C148-89EE-D34B-A4B0-5C875807AB8A}">
  <dimension ref="A1:H14"/>
  <sheetViews>
    <sheetView zoomScale="215" workbookViewId="0">
      <selection activeCell="A14" sqref="A14:C14"/>
    </sheetView>
  </sheetViews>
  <sheetFormatPr baseColWidth="10" defaultRowHeight="16" x14ac:dyDescent="0.2"/>
  <sheetData>
    <row r="1" spans="1:8" x14ac:dyDescent="0.2">
      <c r="A1" t="s">
        <v>29</v>
      </c>
    </row>
    <row r="3" spans="1:8" x14ac:dyDescent="0.2">
      <c r="A3">
        <v>1</v>
      </c>
      <c r="B3">
        <v>2</v>
      </c>
      <c r="C3" t="s">
        <v>17</v>
      </c>
      <c r="D3" t="s">
        <v>20</v>
      </c>
      <c r="E3" s="18">
        <v>43831</v>
      </c>
      <c r="F3" t="s">
        <v>25</v>
      </c>
      <c r="G3" s="19">
        <v>0.29166666666666669</v>
      </c>
      <c r="H3" t="s">
        <v>23</v>
      </c>
    </row>
    <row r="4" spans="1:8" x14ac:dyDescent="0.2">
      <c r="A4">
        <v>2</v>
      </c>
      <c r="B4">
        <v>4</v>
      </c>
      <c r="C4" t="s">
        <v>18</v>
      </c>
      <c r="D4" t="s">
        <v>21</v>
      </c>
      <c r="E4" s="18">
        <v>43862</v>
      </c>
      <c r="F4" t="s">
        <v>26</v>
      </c>
      <c r="G4" s="19">
        <v>0.33333333333333331</v>
      </c>
      <c r="H4" t="s">
        <v>24</v>
      </c>
    </row>
    <row r="5" spans="1:8" x14ac:dyDescent="0.2">
      <c r="A5">
        <v>3</v>
      </c>
      <c r="B5">
        <v>6</v>
      </c>
      <c r="C5" t="s">
        <v>19</v>
      </c>
      <c r="D5" t="s">
        <v>22</v>
      </c>
      <c r="E5" s="18">
        <v>43891</v>
      </c>
      <c r="F5" t="s">
        <v>27</v>
      </c>
      <c r="G5" s="19">
        <v>0.375</v>
      </c>
      <c r="H5" t="s">
        <v>28</v>
      </c>
    </row>
    <row r="13" spans="1:8" x14ac:dyDescent="0.2">
      <c r="A13" t="s">
        <v>30</v>
      </c>
    </row>
    <row r="14" spans="1:8" x14ac:dyDescent="0.2">
      <c r="A14" s="20">
        <v>43831</v>
      </c>
      <c r="B14" s="20">
        <v>43838</v>
      </c>
      <c r="C14" s="20">
        <v>43845</v>
      </c>
    </row>
  </sheetData>
  <phoneticPr fontId="5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B056A-C04B-244A-A418-B570DDC71A0D}">
  <dimension ref="A1:E6"/>
  <sheetViews>
    <sheetView zoomScale="232" workbookViewId="0">
      <selection activeCell="B9" sqref="B9"/>
    </sheetView>
  </sheetViews>
  <sheetFormatPr baseColWidth="10" defaultRowHeight="16" x14ac:dyDescent="0.2"/>
  <cols>
    <col min="1" max="1" width="15" customWidth="1"/>
  </cols>
  <sheetData>
    <row r="1" spans="1:5" x14ac:dyDescent="0.2">
      <c r="A1" t="s">
        <v>35</v>
      </c>
      <c r="B1" t="s">
        <v>37</v>
      </c>
      <c r="C1" t="s">
        <v>36</v>
      </c>
      <c r="D1" t="s">
        <v>40</v>
      </c>
      <c r="E1" t="s">
        <v>41</v>
      </c>
    </row>
    <row r="2" spans="1:5" x14ac:dyDescent="0.2">
      <c r="A2" t="s">
        <v>42</v>
      </c>
      <c r="B2">
        <v>20</v>
      </c>
      <c r="C2" t="s">
        <v>38</v>
      </c>
    </row>
    <row r="3" spans="1:5" x14ac:dyDescent="0.2">
      <c r="A3" t="s">
        <v>43</v>
      </c>
      <c r="B3">
        <v>60</v>
      </c>
      <c r="C3" t="s">
        <v>39</v>
      </c>
    </row>
    <row r="4" spans="1:5" x14ac:dyDescent="0.2">
      <c r="A4" t="s">
        <v>44</v>
      </c>
      <c r="B4">
        <v>70</v>
      </c>
      <c r="C4" t="s">
        <v>28</v>
      </c>
    </row>
    <row r="5" spans="1:5" x14ac:dyDescent="0.2">
      <c r="A5" t="s">
        <v>45</v>
      </c>
      <c r="B5">
        <v>90</v>
      </c>
      <c r="C5" t="s">
        <v>23</v>
      </c>
    </row>
    <row r="6" spans="1:5" x14ac:dyDescent="0.2">
      <c r="A6" s="2" t="s">
        <v>46</v>
      </c>
      <c r="B6">
        <v>80</v>
      </c>
      <c r="C6" t="s">
        <v>24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7E55A-E3E6-3149-B101-BE33B4E5B48A}">
  <dimension ref="A1:F6"/>
  <sheetViews>
    <sheetView zoomScale="228" workbookViewId="0">
      <selection activeCell="D7" sqref="D7"/>
    </sheetView>
  </sheetViews>
  <sheetFormatPr baseColWidth="10" defaultRowHeight="16" x14ac:dyDescent="0.2"/>
  <cols>
    <col min="1" max="1" width="12.1640625" customWidth="1"/>
  </cols>
  <sheetData>
    <row r="1" spans="1:6" x14ac:dyDescent="0.2">
      <c r="A1" t="s">
        <v>48</v>
      </c>
      <c r="B1" t="s">
        <v>47</v>
      </c>
      <c r="C1" t="s">
        <v>49</v>
      </c>
      <c r="D1" t="s">
        <v>50</v>
      </c>
      <c r="E1" t="s">
        <v>51</v>
      </c>
      <c r="F1" t="s">
        <v>52</v>
      </c>
    </row>
    <row r="2" spans="1:6" x14ac:dyDescent="0.2">
      <c r="A2" t="s">
        <v>53</v>
      </c>
      <c r="B2" s="22">
        <v>29587</v>
      </c>
    </row>
    <row r="3" spans="1:6" x14ac:dyDescent="0.2">
      <c r="A3" t="s">
        <v>54</v>
      </c>
      <c r="B3" s="21">
        <v>32907</v>
      </c>
    </row>
    <row r="4" spans="1:6" x14ac:dyDescent="0.2">
      <c r="A4" t="s">
        <v>55</v>
      </c>
      <c r="B4" s="21">
        <v>35054</v>
      </c>
    </row>
    <row r="5" spans="1:6" x14ac:dyDescent="0.2">
      <c r="A5" t="s">
        <v>56</v>
      </c>
      <c r="B5" s="21">
        <v>31141</v>
      </c>
    </row>
    <row r="6" spans="1:6" x14ac:dyDescent="0.2">
      <c r="A6" t="s">
        <v>57</v>
      </c>
      <c r="B6" s="21">
        <v>30176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9A191-EBE6-E642-8991-D99996527C4D}">
  <dimension ref="A1:G7"/>
  <sheetViews>
    <sheetView workbookViewId="0">
      <selection activeCell="D23" sqref="D23"/>
    </sheetView>
  </sheetViews>
  <sheetFormatPr baseColWidth="10" defaultRowHeight="16" x14ac:dyDescent="0.2"/>
  <sheetData>
    <row r="1" spans="1:7" x14ac:dyDescent="0.2">
      <c r="A1" t="s">
        <v>59</v>
      </c>
      <c r="B1" t="s">
        <v>48</v>
      </c>
      <c r="C1" t="s">
        <v>60</v>
      </c>
      <c r="D1" t="s">
        <v>61</v>
      </c>
    </row>
    <row r="2" spans="1:7" x14ac:dyDescent="0.2">
      <c r="A2" t="s">
        <v>62</v>
      </c>
      <c r="B2" t="s">
        <v>68</v>
      </c>
      <c r="C2">
        <v>49</v>
      </c>
      <c r="D2">
        <v>70</v>
      </c>
      <c r="F2" t="s">
        <v>59</v>
      </c>
      <c r="G2" t="s">
        <v>60</v>
      </c>
    </row>
    <row r="3" spans="1:7" x14ac:dyDescent="0.2">
      <c r="A3" t="s">
        <v>63</v>
      </c>
      <c r="B3" t="s">
        <v>69</v>
      </c>
      <c r="C3">
        <v>78</v>
      </c>
      <c r="D3">
        <v>58</v>
      </c>
      <c r="F3" t="s">
        <v>64</v>
      </c>
      <c r="G3">
        <f>VLOOKUP(F3,A2:D7,3,FALSE)</f>
        <v>100</v>
      </c>
    </row>
    <row r="4" spans="1:7" x14ac:dyDescent="0.2">
      <c r="A4" t="s">
        <v>64</v>
      </c>
      <c r="B4" t="s">
        <v>70</v>
      </c>
      <c r="C4">
        <v>100</v>
      </c>
      <c r="D4">
        <v>96</v>
      </c>
    </row>
    <row r="5" spans="1:7" x14ac:dyDescent="0.2">
      <c r="A5" t="s">
        <v>65</v>
      </c>
      <c r="B5" t="s">
        <v>71</v>
      </c>
      <c r="C5">
        <v>92</v>
      </c>
      <c r="D5">
        <v>98</v>
      </c>
    </row>
    <row r="6" spans="1:7" x14ac:dyDescent="0.2">
      <c r="A6" t="s">
        <v>66</v>
      </c>
      <c r="B6" t="s">
        <v>72</v>
      </c>
      <c r="C6">
        <v>61</v>
      </c>
      <c r="D6">
        <v>79</v>
      </c>
    </row>
    <row r="7" spans="1:7" x14ac:dyDescent="0.2">
      <c r="A7" t="s">
        <v>67</v>
      </c>
      <c r="B7" t="s">
        <v>73</v>
      </c>
      <c r="C7">
        <v>85</v>
      </c>
      <c r="D7">
        <v>90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46573-D6C2-404F-9E80-2FA91A6005A2}">
  <dimension ref="A3:D10"/>
  <sheetViews>
    <sheetView topLeftCell="A2" zoomScale="125" workbookViewId="0">
      <selection activeCell="A4" sqref="A4"/>
    </sheetView>
  </sheetViews>
  <sheetFormatPr baseColWidth="10" defaultRowHeight="16" x14ac:dyDescent="0.2"/>
  <cols>
    <col min="1" max="1" width="10.83203125" bestFit="1" customWidth="1"/>
    <col min="2" max="2" width="16.6640625" bestFit="1" customWidth="1"/>
    <col min="3" max="3" width="17.83203125" bestFit="1" customWidth="1"/>
    <col min="4" max="4" width="16.33203125" bestFit="1" customWidth="1"/>
  </cols>
  <sheetData>
    <row r="3" spans="1:4" x14ac:dyDescent="0.2">
      <c r="A3" s="24" t="s">
        <v>50</v>
      </c>
      <c r="B3" t="s">
        <v>306</v>
      </c>
      <c r="C3" t="s">
        <v>307</v>
      </c>
      <c r="D3" t="s">
        <v>308</v>
      </c>
    </row>
    <row r="4" spans="1:4" x14ac:dyDescent="0.2">
      <c r="A4" s="25">
        <v>3</v>
      </c>
      <c r="B4" s="23">
        <v>96126</v>
      </c>
      <c r="C4" s="23">
        <v>11227</v>
      </c>
      <c r="D4" s="23"/>
    </row>
    <row r="5" spans="1:4" x14ac:dyDescent="0.2">
      <c r="A5" s="25">
        <v>4</v>
      </c>
      <c r="B5" s="23">
        <v>101852</v>
      </c>
      <c r="C5" s="23">
        <v>16091</v>
      </c>
      <c r="D5" s="23">
        <v>419591</v>
      </c>
    </row>
    <row r="6" spans="1:4" x14ac:dyDescent="0.2">
      <c r="A6" s="25">
        <v>5</v>
      </c>
      <c r="B6" s="23">
        <v>16079</v>
      </c>
      <c r="C6" s="23">
        <v>2885</v>
      </c>
      <c r="D6" s="23">
        <v>358608</v>
      </c>
    </row>
    <row r="7" spans="1:4" x14ac:dyDescent="0.2">
      <c r="A7" s="25">
        <v>8</v>
      </c>
      <c r="B7" s="23">
        <v>9324</v>
      </c>
      <c r="C7" s="23">
        <v>42</v>
      </c>
      <c r="D7" s="23">
        <v>364014</v>
      </c>
    </row>
    <row r="8" spans="1:4" x14ac:dyDescent="0.2">
      <c r="A8" s="25">
        <v>9</v>
      </c>
      <c r="B8" s="23">
        <v>1326</v>
      </c>
      <c r="C8" s="23">
        <v>6</v>
      </c>
      <c r="D8" s="23"/>
    </row>
    <row r="9" spans="1:4" x14ac:dyDescent="0.2">
      <c r="A9" s="25" t="s">
        <v>304</v>
      </c>
      <c r="B9" s="23">
        <v>46808</v>
      </c>
      <c r="C9" s="23">
        <v>5246</v>
      </c>
      <c r="D9" s="23">
        <v>3137243</v>
      </c>
    </row>
    <row r="10" spans="1:4" x14ac:dyDescent="0.2">
      <c r="A10" s="25" t="s">
        <v>305</v>
      </c>
      <c r="B10" s="23">
        <v>271515</v>
      </c>
      <c r="C10" s="23">
        <v>35497</v>
      </c>
      <c r="D10" s="23">
        <v>4279456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FB8CF-43F7-1544-BCEC-ED4F11E15F60}">
  <sheetPr filterMode="1"/>
  <dimension ref="A1:E249"/>
  <sheetViews>
    <sheetView zoomScale="255" workbookViewId="0">
      <pane ySplit="1" topLeftCell="A132" activePane="bottomLeft" state="frozen"/>
      <selection pane="bottomLeft"/>
    </sheetView>
  </sheetViews>
  <sheetFormatPr baseColWidth="10" defaultRowHeight="16" x14ac:dyDescent="0.2"/>
  <cols>
    <col min="1" max="1" width="10.33203125" customWidth="1"/>
    <col min="2" max="2" width="10.1640625" bestFit="1" customWidth="1"/>
    <col min="3" max="3" width="11.1640625" bestFit="1" customWidth="1"/>
    <col min="4" max="4" width="9.6640625" bestFit="1" customWidth="1"/>
  </cols>
  <sheetData>
    <row r="1" spans="1:5" x14ac:dyDescent="0.2">
      <c r="A1" t="s">
        <v>31</v>
      </c>
      <c r="B1" t="s">
        <v>32</v>
      </c>
      <c r="C1" t="s">
        <v>33</v>
      </c>
      <c r="D1" t="s">
        <v>34</v>
      </c>
      <c r="E1" t="s">
        <v>50</v>
      </c>
    </row>
    <row r="2" spans="1:5" hidden="1" x14ac:dyDescent="0.2">
      <c r="A2" s="20">
        <v>43830</v>
      </c>
      <c r="B2">
        <v>0</v>
      </c>
      <c r="C2">
        <v>0</v>
      </c>
    </row>
    <row r="3" spans="1:5" hidden="1" x14ac:dyDescent="0.2">
      <c r="A3" s="20">
        <v>43831</v>
      </c>
      <c r="B3">
        <v>0</v>
      </c>
      <c r="C3">
        <v>0</v>
      </c>
    </row>
    <row r="4" spans="1:5" hidden="1" x14ac:dyDescent="0.2">
      <c r="A4" s="20">
        <v>43832</v>
      </c>
      <c r="B4">
        <v>0</v>
      </c>
      <c r="C4">
        <v>0</v>
      </c>
    </row>
    <row r="5" spans="1:5" hidden="1" x14ac:dyDescent="0.2">
      <c r="A5" s="20">
        <v>43833</v>
      </c>
      <c r="B5">
        <v>0</v>
      </c>
      <c r="C5">
        <v>0</v>
      </c>
    </row>
    <row r="6" spans="1:5" hidden="1" x14ac:dyDescent="0.2">
      <c r="A6" s="20">
        <v>43834</v>
      </c>
      <c r="B6">
        <v>0</v>
      </c>
      <c r="C6">
        <v>0</v>
      </c>
    </row>
    <row r="7" spans="1:5" hidden="1" x14ac:dyDescent="0.2">
      <c r="A7" s="20">
        <v>43835</v>
      </c>
      <c r="B7">
        <v>0</v>
      </c>
      <c r="C7">
        <v>0</v>
      </c>
    </row>
    <row r="8" spans="1:5" hidden="1" x14ac:dyDescent="0.2">
      <c r="A8" s="20">
        <v>43836</v>
      </c>
      <c r="B8">
        <v>0</v>
      </c>
      <c r="C8">
        <v>0</v>
      </c>
    </row>
    <row r="9" spans="1:5" hidden="1" x14ac:dyDescent="0.2">
      <c r="A9" s="20">
        <v>43837</v>
      </c>
      <c r="B9">
        <v>0</v>
      </c>
      <c r="C9">
        <v>0</v>
      </c>
    </row>
    <row r="10" spans="1:5" hidden="1" x14ac:dyDescent="0.2">
      <c r="A10" s="20">
        <v>43838</v>
      </c>
      <c r="B10">
        <v>0</v>
      </c>
      <c r="C10">
        <v>0</v>
      </c>
    </row>
    <row r="11" spans="1:5" hidden="1" x14ac:dyDescent="0.2">
      <c r="A11" s="20">
        <v>43839</v>
      </c>
      <c r="B11">
        <v>0</v>
      </c>
      <c r="C11">
        <v>0</v>
      </c>
    </row>
    <row r="12" spans="1:5" hidden="1" x14ac:dyDescent="0.2">
      <c r="A12" s="20">
        <v>43840</v>
      </c>
      <c r="B12">
        <v>0</v>
      </c>
      <c r="C12">
        <v>0</v>
      </c>
    </row>
    <row r="13" spans="1:5" hidden="1" x14ac:dyDescent="0.2">
      <c r="A13" s="20">
        <v>43841</v>
      </c>
      <c r="B13">
        <v>0</v>
      </c>
      <c r="C13">
        <v>0</v>
      </c>
    </row>
    <row r="14" spans="1:5" hidden="1" x14ac:dyDescent="0.2">
      <c r="A14" s="20">
        <v>43842</v>
      </c>
      <c r="B14">
        <v>0</v>
      </c>
      <c r="C14">
        <v>0</v>
      </c>
    </row>
    <row r="15" spans="1:5" hidden="1" x14ac:dyDescent="0.2">
      <c r="A15" s="20">
        <v>43843</v>
      </c>
      <c r="B15">
        <v>0</v>
      </c>
      <c r="C15">
        <v>0</v>
      </c>
    </row>
    <row r="16" spans="1:5" hidden="1" x14ac:dyDescent="0.2">
      <c r="A16" s="20">
        <v>43844</v>
      </c>
      <c r="B16">
        <v>0</v>
      </c>
      <c r="C16">
        <v>0</v>
      </c>
    </row>
    <row r="17" spans="1:3" hidden="1" x14ac:dyDescent="0.2">
      <c r="A17" s="20">
        <v>43845</v>
      </c>
      <c r="B17">
        <v>0</v>
      </c>
      <c r="C17">
        <v>0</v>
      </c>
    </row>
    <row r="18" spans="1:3" hidden="1" x14ac:dyDescent="0.2">
      <c r="A18" s="20">
        <v>43846</v>
      </c>
      <c r="B18">
        <v>0</v>
      </c>
      <c r="C18">
        <v>0</v>
      </c>
    </row>
    <row r="19" spans="1:3" hidden="1" x14ac:dyDescent="0.2">
      <c r="A19" s="20">
        <v>43847</v>
      </c>
      <c r="B19">
        <v>0</v>
      </c>
      <c r="C19">
        <v>0</v>
      </c>
    </row>
    <row r="20" spans="1:3" hidden="1" x14ac:dyDescent="0.2">
      <c r="A20" s="20">
        <v>43848</v>
      </c>
      <c r="B20">
        <v>0</v>
      </c>
      <c r="C20">
        <v>0</v>
      </c>
    </row>
    <row r="21" spans="1:3" hidden="1" x14ac:dyDescent="0.2">
      <c r="A21" s="20">
        <v>43849</v>
      </c>
      <c r="B21">
        <v>0</v>
      </c>
      <c r="C21">
        <v>0</v>
      </c>
    </row>
    <row r="22" spans="1:3" hidden="1" x14ac:dyDescent="0.2">
      <c r="A22" s="20">
        <v>43850</v>
      </c>
      <c r="B22">
        <v>0</v>
      </c>
      <c r="C22">
        <v>0</v>
      </c>
    </row>
    <row r="23" spans="1:3" hidden="1" x14ac:dyDescent="0.2">
      <c r="A23" s="20">
        <v>43851</v>
      </c>
      <c r="B23">
        <v>0</v>
      </c>
      <c r="C23">
        <v>0</v>
      </c>
    </row>
    <row r="24" spans="1:3" hidden="1" x14ac:dyDescent="0.2">
      <c r="A24" s="20">
        <v>43852</v>
      </c>
      <c r="B24">
        <v>0</v>
      </c>
      <c r="C24">
        <v>0</v>
      </c>
    </row>
    <row r="25" spans="1:3" hidden="1" x14ac:dyDescent="0.2">
      <c r="A25" s="20">
        <v>43853</v>
      </c>
      <c r="B25">
        <v>0</v>
      </c>
      <c r="C25">
        <v>0</v>
      </c>
    </row>
    <row r="26" spans="1:3" hidden="1" x14ac:dyDescent="0.2">
      <c r="A26" s="20">
        <v>43854</v>
      </c>
      <c r="B26">
        <v>0</v>
      </c>
      <c r="C26">
        <v>0</v>
      </c>
    </row>
    <row r="27" spans="1:3" hidden="1" x14ac:dyDescent="0.2">
      <c r="A27" s="20">
        <v>43855</v>
      </c>
      <c r="B27">
        <v>0</v>
      </c>
      <c r="C27">
        <v>0</v>
      </c>
    </row>
    <row r="28" spans="1:3" hidden="1" x14ac:dyDescent="0.2">
      <c r="A28" s="20">
        <v>43856</v>
      </c>
      <c r="B28">
        <v>0</v>
      </c>
      <c r="C28">
        <v>0</v>
      </c>
    </row>
    <row r="29" spans="1:3" hidden="1" x14ac:dyDescent="0.2">
      <c r="A29" s="20">
        <v>43857</v>
      </c>
      <c r="B29">
        <v>0</v>
      </c>
      <c r="C29">
        <v>0</v>
      </c>
    </row>
    <row r="30" spans="1:3" hidden="1" x14ac:dyDescent="0.2">
      <c r="A30" s="20">
        <v>43858</v>
      </c>
      <c r="B30">
        <v>0</v>
      </c>
      <c r="C30">
        <v>0</v>
      </c>
    </row>
    <row r="31" spans="1:3" hidden="1" x14ac:dyDescent="0.2">
      <c r="A31" s="20">
        <v>43859</v>
      </c>
      <c r="B31">
        <v>0</v>
      </c>
      <c r="C31">
        <v>0</v>
      </c>
    </row>
    <row r="32" spans="1:3" hidden="1" x14ac:dyDescent="0.2">
      <c r="A32" s="20">
        <v>43860</v>
      </c>
      <c r="B32">
        <v>0</v>
      </c>
      <c r="C32">
        <v>0</v>
      </c>
    </row>
    <row r="33" spans="1:3" hidden="1" x14ac:dyDescent="0.2">
      <c r="A33" s="20">
        <v>43861</v>
      </c>
      <c r="B33">
        <v>3</v>
      </c>
      <c r="C33">
        <v>0</v>
      </c>
    </row>
    <row r="34" spans="1:3" hidden="1" x14ac:dyDescent="0.2">
      <c r="A34" s="20">
        <v>43862</v>
      </c>
      <c r="B34">
        <v>0</v>
      </c>
      <c r="C34">
        <v>0</v>
      </c>
    </row>
    <row r="35" spans="1:3" hidden="1" x14ac:dyDescent="0.2">
      <c r="A35" s="20">
        <v>43863</v>
      </c>
      <c r="B35">
        <v>0</v>
      </c>
      <c r="C35">
        <v>0</v>
      </c>
    </row>
    <row r="36" spans="1:3" hidden="1" x14ac:dyDescent="0.2">
      <c r="A36" s="20">
        <v>43864</v>
      </c>
      <c r="B36">
        <v>0</v>
      </c>
      <c r="C36">
        <v>0</v>
      </c>
    </row>
    <row r="37" spans="1:3" hidden="1" x14ac:dyDescent="0.2">
      <c r="A37" s="20">
        <v>43865</v>
      </c>
      <c r="B37">
        <v>0</v>
      </c>
      <c r="C37">
        <v>0</v>
      </c>
    </row>
    <row r="38" spans="1:3" hidden="1" x14ac:dyDescent="0.2">
      <c r="A38" s="20">
        <v>43866</v>
      </c>
      <c r="B38">
        <v>0</v>
      </c>
      <c r="C38">
        <v>0</v>
      </c>
    </row>
    <row r="39" spans="1:3" hidden="1" x14ac:dyDescent="0.2">
      <c r="A39" s="20">
        <v>43867</v>
      </c>
      <c r="B39">
        <v>0</v>
      </c>
      <c r="C39">
        <v>0</v>
      </c>
    </row>
    <row r="40" spans="1:3" hidden="1" x14ac:dyDescent="0.2">
      <c r="A40" s="20">
        <v>43868</v>
      </c>
      <c r="B40">
        <v>0</v>
      </c>
      <c r="C40">
        <v>0</v>
      </c>
    </row>
    <row r="41" spans="1:3" hidden="1" x14ac:dyDescent="0.2">
      <c r="A41" s="20">
        <v>43869</v>
      </c>
      <c r="B41">
        <v>0</v>
      </c>
      <c r="C41">
        <v>0</v>
      </c>
    </row>
    <row r="42" spans="1:3" hidden="1" x14ac:dyDescent="0.2">
      <c r="A42" s="20">
        <v>43870</v>
      </c>
      <c r="B42">
        <v>0</v>
      </c>
      <c r="C42">
        <v>0</v>
      </c>
    </row>
    <row r="43" spans="1:3" hidden="1" x14ac:dyDescent="0.2">
      <c r="A43" s="20">
        <v>43871</v>
      </c>
      <c r="B43">
        <v>0</v>
      </c>
      <c r="C43">
        <v>0</v>
      </c>
    </row>
    <row r="44" spans="1:3" hidden="1" x14ac:dyDescent="0.2">
      <c r="A44" s="20">
        <v>43872</v>
      </c>
      <c r="B44">
        <v>0</v>
      </c>
      <c r="C44">
        <v>0</v>
      </c>
    </row>
    <row r="45" spans="1:3" hidden="1" x14ac:dyDescent="0.2">
      <c r="A45" s="20">
        <v>43873</v>
      </c>
      <c r="B45">
        <v>0</v>
      </c>
      <c r="C45">
        <v>0</v>
      </c>
    </row>
    <row r="46" spans="1:3" hidden="1" x14ac:dyDescent="0.2">
      <c r="A46" s="20">
        <v>43874</v>
      </c>
      <c r="B46">
        <v>0</v>
      </c>
      <c r="C46">
        <v>0</v>
      </c>
    </row>
    <row r="47" spans="1:3" hidden="1" x14ac:dyDescent="0.2">
      <c r="A47" s="20">
        <v>43875</v>
      </c>
      <c r="B47">
        <v>0</v>
      </c>
      <c r="C47">
        <v>0</v>
      </c>
    </row>
    <row r="48" spans="1:3" hidden="1" x14ac:dyDescent="0.2">
      <c r="A48" s="20">
        <v>43876</v>
      </c>
      <c r="B48">
        <v>0</v>
      </c>
      <c r="C48">
        <v>0</v>
      </c>
    </row>
    <row r="49" spans="1:3" hidden="1" x14ac:dyDescent="0.2">
      <c r="A49" s="20">
        <v>43877</v>
      </c>
      <c r="B49">
        <v>0</v>
      </c>
      <c r="C49">
        <v>0</v>
      </c>
    </row>
    <row r="50" spans="1:3" hidden="1" x14ac:dyDescent="0.2">
      <c r="A50" s="20">
        <v>43878</v>
      </c>
      <c r="B50">
        <v>0</v>
      </c>
      <c r="C50">
        <v>0</v>
      </c>
    </row>
    <row r="51" spans="1:3" hidden="1" x14ac:dyDescent="0.2">
      <c r="A51" s="20">
        <v>43879</v>
      </c>
      <c r="B51">
        <v>0</v>
      </c>
      <c r="C51">
        <v>0</v>
      </c>
    </row>
    <row r="52" spans="1:3" hidden="1" x14ac:dyDescent="0.2">
      <c r="A52" s="20">
        <v>43880</v>
      </c>
      <c r="B52">
        <v>0</v>
      </c>
      <c r="C52">
        <v>0</v>
      </c>
    </row>
    <row r="53" spans="1:3" hidden="1" x14ac:dyDescent="0.2">
      <c r="A53" s="20">
        <v>43881</v>
      </c>
      <c r="B53">
        <v>0</v>
      </c>
      <c r="C53">
        <v>0</v>
      </c>
    </row>
    <row r="54" spans="1:3" hidden="1" x14ac:dyDescent="0.2">
      <c r="A54" s="20">
        <v>43882</v>
      </c>
      <c r="B54">
        <v>0</v>
      </c>
      <c r="C54">
        <v>0</v>
      </c>
    </row>
    <row r="55" spans="1:3" hidden="1" x14ac:dyDescent="0.2">
      <c r="A55" s="20">
        <v>43883</v>
      </c>
      <c r="B55">
        <v>14</v>
      </c>
      <c r="C55">
        <v>0</v>
      </c>
    </row>
    <row r="56" spans="1:3" hidden="1" x14ac:dyDescent="0.2">
      <c r="A56" s="20">
        <v>43884</v>
      </c>
      <c r="B56">
        <v>62</v>
      </c>
      <c r="C56">
        <v>2</v>
      </c>
    </row>
    <row r="57" spans="1:3" hidden="1" x14ac:dyDescent="0.2">
      <c r="A57" s="20">
        <v>43885</v>
      </c>
      <c r="B57">
        <v>53</v>
      </c>
      <c r="C57">
        <v>0</v>
      </c>
    </row>
    <row r="58" spans="1:3" hidden="1" x14ac:dyDescent="0.2">
      <c r="A58" s="20">
        <v>43886</v>
      </c>
      <c r="B58">
        <v>97</v>
      </c>
      <c r="C58">
        <v>4</v>
      </c>
    </row>
    <row r="59" spans="1:3" hidden="1" x14ac:dyDescent="0.2">
      <c r="A59" s="20">
        <v>43887</v>
      </c>
      <c r="B59">
        <v>93</v>
      </c>
      <c r="C59">
        <v>5</v>
      </c>
    </row>
    <row r="60" spans="1:3" hidden="1" x14ac:dyDescent="0.2">
      <c r="A60" s="20">
        <v>43888</v>
      </c>
      <c r="B60">
        <v>78</v>
      </c>
      <c r="C60">
        <v>1</v>
      </c>
    </row>
    <row r="61" spans="1:3" hidden="1" x14ac:dyDescent="0.2">
      <c r="A61" s="20">
        <v>43889</v>
      </c>
      <c r="B61">
        <v>250</v>
      </c>
      <c r="C61">
        <v>5</v>
      </c>
    </row>
    <row r="62" spans="1:3" hidden="1" x14ac:dyDescent="0.2">
      <c r="A62" s="20">
        <v>43890</v>
      </c>
      <c r="B62">
        <v>238</v>
      </c>
      <c r="C62">
        <v>4</v>
      </c>
    </row>
    <row r="63" spans="1:3" hidden="1" x14ac:dyDescent="0.2">
      <c r="A63" s="20">
        <v>43891</v>
      </c>
      <c r="B63">
        <v>240</v>
      </c>
      <c r="C63">
        <v>8</v>
      </c>
    </row>
    <row r="64" spans="1:3" hidden="1" x14ac:dyDescent="0.2">
      <c r="A64" s="20">
        <v>43892</v>
      </c>
      <c r="B64">
        <v>561</v>
      </c>
      <c r="C64">
        <v>6</v>
      </c>
    </row>
    <row r="65" spans="1:5" hidden="1" x14ac:dyDescent="0.2">
      <c r="A65" s="20">
        <v>43893</v>
      </c>
      <c r="B65">
        <v>347</v>
      </c>
      <c r="C65">
        <v>17</v>
      </c>
    </row>
    <row r="66" spans="1:5" hidden="1" x14ac:dyDescent="0.2">
      <c r="A66" s="20">
        <v>43894</v>
      </c>
      <c r="B66">
        <v>466</v>
      </c>
      <c r="C66">
        <v>28</v>
      </c>
    </row>
    <row r="67" spans="1:5" hidden="1" x14ac:dyDescent="0.2">
      <c r="A67" s="20">
        <v>43895</v>
      </c>
      <c r="B67">
        <v>587</v>
      </c>
      <c r="C67">
        <v>27</v>
      </c>
    </row>
    <row r="68" spans="1:5" hidden="1" x14ac:dyDescent="0.2">
      <c r="A68" s="20">
        <v>43896</v>
      </c>
      <c r="B68">
        <v>769</v>
      </c>
      <c r="C68">
        <v>41</v>
      </c>
    </row>
    <row r="69" spans="1:5" hidden="1" x14ac:dyDescent="0.2">
      <c r="A69" s="20">
        <v>43897</v>
      </c>
      <c r="B69">
        <v>778</v>
      </c>
      <c r="C69">
        <v>49</v>
      </c>
    </row>
    <row r="70" spans="1:5" x14ac:dyDescent="0.2">
      <c r="A70" s="20">
        <v>43912</v>
      </c>
      <c r="B70">
        <v>6557</v>
      </c>
      <c r="C70">
        <v>795</v>
      </c>
      <c r="E70">
        <f>MONTH(A70)</f>
        <v>3</v>
      </c>
    </row>
    <row r="71" spans="1:5" x14ac:dyDescent="0.2">
      <c r="A71" s="20">
        <v>43917</v>
      </c>
      <c r="B71">
        <v>6153</v>
      </c>
      <c r="C71">
        <v>660</v>
      </c>
      <c r="E71">
        <f t="shared" ref="E71:E72" si="0">MONTH(A71)</f>
        <v>3</v>
      </c>
    </row>
    <row r="72" spans="1:5" x14ac:dyDescent="0.2">
      <c r="A72" s="20">
        <v>43911</v>
      </c>
      <c r="B72">
        <v>5986</v>
      </c>
      <c r="C72">
        <v>625</v>
      </c>
      <c r="E72">
        <f t="shared" si="0"/>
        <v>3</v>
      </c>
    </row>
    <row r="73" spans="1:5" hidden="1" x14ac:dyDescent="0.2">
      <c r="A73" s="20">
        <v>43901</v>
      </c>
      <c r="B73">
        <v>977</v>
      </c>
      <c r="C73">
        <v>167</v>
      </c>
    </row>
    <row r="74" spans="1:5" x14ac:dyDescent="0.2">
      <c r="A74" s="20">
        <v>43919</v>
      </c>
      <c r="B74">
        <v>5974</v>
      </c>
      <c r="C74">
        <v>887</v>
      </c>
      <c r="E74">
        <f t="shared" ref="E74:E133" si="1">MONTH(A74)</f>
        <v>3</v>
      </c>
    </row>
    <row r="75" spans="1:5" x14ac:dyDescent="0.2">
      <c r="A75" s="20">
        <v>43918</v>
      </c>
      <c r="B75">
        <v>5959</v>
      </c>
      <c r="C75">
        <v>971</v>
      </c>
      <c r="E75">
        <f t="shared" si="1"/>
        <v>3</v>
      </c>
    </row>
    <row r="76" spans="1:5" x14ac:dyDescent="0.2">
      <c r="A76" s="20">
        <v>43913</v>
      </c>
      <c r="B76">
        <v>5560</v>
      </c>
      <c r="C76">
        <v>649</v>
      </c>
      <c r="E76">
        <f t="shared" si="1"/>
        <v>3</v>
      </c>
    </row>
    <row r="77" spans="1:5" x14ac:dyDescent="0.2">
      <c r="A77" s="20">
        <v>43910</v>
      </c>
      <c r="B77">
        <v>5322</v>
      </c>
      <c r="C77">
        <v>429</v>
      </c>
      <c r="E77">
        <f t="shared" si="1"/>
        <v>3</v>
      </c>
    </row>
    <row r="78" spans="1:5" x14ac:dyDescent="0.2">
      <c r="A78" s="20">
        <v>43915</v>
      </c>
      <c r="B78">
        <v>5249</v>
      </c>
      <c r="C78">
        <v>743</v>
      </c>
      <c r="E78">
        <f t="shared" si="1"/>
        <v>3</v>
      </c>
    </row>
    <row r="79" spans="1:5" x14ac:dyDescent="0.2">
      <c r="A79" s="20">
        <v>43920</v>
      </c>
      <c r="B79">
        <v>5217</v>
      </c>
      <c r="C79">
        <v>758</v>
      </c>
      <c r="E79">
        <f t="shared" si="1"/>
        <v>3</v>
      </c>
    </row>
    <row r="80" spans="1:5" x14ac:dyDescent="0.2">
      <c r="A80" s="20">
        <v>43916</v>
      </c>
      <c r="B80">
        <v>5210</v>
      </c>
      <c r="C80">
        <v>685</v>
      </c>
      <c r="E80">
        <f t="shared" si="1"/>
        <v>3</v>
      </c>
    </row>
    <row r="81" spans="1:5" x14ac:dyDescent="0.2">
      <c r="A81" s="20">
        <v>43926</v>
      </c>
      <c r="B81">
        <v>4805</v>
      </c>
      <c r="C81">
        <v>681</v>
      </c>
      <c r="E81">
        <f t="shared" si="1"/>
        <v>4</v>
      </c>
    </row>
    <row r="82" spans="1:5" x14ac:dyDescent="0.2">
      <c r="A82" s="20">
        <v>43914</v>
      </c>
      <c r="B82">
        <v>4789</v>
      </c>
      <c r="C82">
        <v>601</v>
      </c>
      <c r="E82">
        <f t="shared" si="1"/>
        <v>3</v>
      </c>
    </row>
    <row r="83" spans="1:5" x14ac:dyDescent="0.2">
      <c r="A83" s="20">
        <v>43923</v>
      </c>
      <c r="B83">
        <v>4782</v>
      </c>
      <c r="C83">
        <v>727</v>
      </c>
      <c r="E83">
        <f t="shared" si="1"/>
        <v>4</v>
      </c>
    </row>
    <row r="84" spans="1:5" x14ac:dyDescent="0.2">
      <c r="A84" s="20">
        <v>43933</v>
      </c>
      <c r="B84">
        <v>4694</v>
      </c>
      <c r="C84">
        <v>619</v>
      </c>
      <c r="E84">
        <f t="shared" si="1"/>
        <v>4</v>
      </c>
    </row>
    <row r="85" spans="1:5" x14ac:dyDescent="0.2">
      <c r="A85" s="20">
        <v>43924</v>
      </c>
      <c r="B85">
        <v>4668</v>
      </c>
      <c r="C85">
        <v>760</v>
      </c>
      <c r="E85">
        <f t="shared" si="1"/>
        <v>4</v>
      </c>
    </row>
    <row r="86" spans="1:5" x14ac:dyDescent="0.2">
      <c r="A86" s="20">
        <v>43925</v>
      </c>
      <c r="B86">
        <v>4585</v>
      </c>
      <c r="C86">
        <v>764</v>
      </c>
      <c r="E86">
        <f t="shared" si="1"/>
        <v>4</v>
      </c>
    </row>
    <row r="87" spans="1:5" x14ac:dyDescent="0.2">
      <c r="A87" s="20">
        <v>43927</v>
      </c>
      <c r="B87">
        <v>4316</v>
      </c>
      <c r="C87">
        <v>527</v>
      </c>
      <c r="E87">
        <f t="shared" si="1"/>
        <v>4</v>
      </c>
    </row>
    <row r="88" spans="1:5" x14ac:dyDescent="0.2">
      <c r="A88" s="20">
        <v>43909</v>
      </c>
      <c r="B88">
        <v>4207</v>
      </c>
      <c r="C88">
        <v>473</v>
      </c>
      <c r="E88">
        <f t="shared" si="1"/>
        <v>3</v>
      </c>
    </row>
    <row r="89" spans="1:5" x14ac:dyDescent="0.2">
      <c r="A89" s="20">
        <v>43931</v>
      </c>
      <c r="B89">
        <v>4204</v>
      </c>
      <c r="C89">
        <v>612</v>
      </c>
      <c r="E89">
        <f t="shared" si="1"/>
        <v>4</v>
      </c>
    </row>
    <row r="90" spans="1:5" x14ac:dyDescent="0.2">
      <c r="A90" s="20">
        <v>43934</v>
      </c>
      <c r="B90">
        <v>4092</v>
      </c>
      <c r="C90">
        <v>431</v>
      </c>
      <c r="E90">
        <f t="shared" si="1"/>
        <v>4</v>
      </c>
    </row>
    <row r="91" spans="1:5" x14ac:dyDescent="0.2">
      <c r="A91" s="20">
        <v>43922</v>
      </c>
      <c r="B91">
        <v>4053</v>
      </c>
      <c r="C91">
        <v>839</v>
      </c>
      <c r="E91">
        <f t="shared" si="1"/>
        <v>4</v>
      </c>
    </row>
    <row r="92" spans="1:5" x14ac:dyDescent="0.2">
      <c r="A92" s="20">
        <v>43921</v>
      </c>
      <c r="B92">
        <v>4050</v>
      </c>
      <c r="C92">
        <v>810</v>
      </c>
      <c r="E92">
        <f t="shared" si="1"/>
        <v>3</v>
      </c>
    </row>
    <row r="93" spans="1:5" x14ac:dyDescent="0.2">
      <c r="A93" s="20">
        <v>43907</v>
      </c>
      <c r="B93">
        <v>4000</v>
      </c>
      <c r="C93">
        <v>347</v>
      </c>
      <c r="E93">
        <f t="shared" si="1"/>
        <v>3</v>
      </c>
    </row>
    <row r="94" spans="1:5" x14ac:dyDescent="0.2">
      <c r="A94" s="20">
        <v>43932</v>
      </c>
      <c r="B94">
        <v>3951</v>
      </c>
      <c r="C94">
        <v>570</v>
      </c>
      <c r="E94">
        <f t="shared" si="1"/>
        <v>4</v>
      </c>
    </row>
    <row r="95" spans="1:5" x14ac:dyDescent="0.2">
      <c r="A95" s="20">
        <v>43930</v>
      </c>
      <c r="B95">
        <v>3836</v>
      </c>
      <c r="C95">
        <v>540</v>
      </c>
      <c r="E95">
        <f t="shared" si="1"/>
        <v>4</v>
      </c>
    </row>
    <row r="96" spans="1:5" x14ac:dyDescent="0.2">
      <c r="A96" s="20">
        <v>43938</v>
      </c>
      <c r="B96">
        <v>3786</v>
      </c>
      <c r="C96">
        <v>525</v>
      </c>
      <c r="E96">
        <f t="shared" si="1"/>
        <v>4</v>
      </c>
    </row>
    <row r="97" spans="1:5" x14ac:dyDescent="0.2">
      <c r="A97" s="20">
        <v>43928</v>
      </c>
      <c r="B97">
        <v>3599</v>
      </c>
      <c r="C97">
        <v>636</v>
      </c>
      <c r="E97">
        <f t="shared" si="1"/>
        <v>4</v>
      </c>
    </row>
    <row r="98" spans="1:5" x14ac:dyDescent="0.2">
      <c r="A98" s="20">
        <v>43908</v>
      </c>
      <c r="B98">
        <v>3526</v>
      </c>
      <c r="C98">
        <v>347</v>
      </c>
      <c r="E98">
        <f t="shared" si="1"/>
        <v>3</v>
      </c>
    </row>
    <row r="99" spans="1:5" x14ac:dyDescent="0.2">
      <c r="A99" s="20">
        <v>43905</v>
      </c>
      <c r="B99">
        <v>3497</v>
      </c>
      <c r="C99">
        <v>173</v>
      </c>
      <c r="E99">
        <f t="shared" si="1"/>
        <v>3</v>
      </c>
    </row>
    <row r="100" spans="1:5" x14ac:dyDescent="0.2">
      <c r="A100" s="20">
        <v>43939</v>
      </c>
      <c r="B100">
        <v>3493</v>
      </c>
      <c r="C100">
        <v>575</v>
      </c>
      <c r="E100">
        <f t="shared" si="1"/>
        <v>4</v>
      </c>
    </row>
    <row r="101" spans="1:5" x14ac:dyDescent="0.2">
      <c r="A101" s="20">
        <v>43940</v>
      </c>
      <c r="B101">
        <v>3491</v>
      </c>
      <c r="C101">
        <v>480</v>
      </c>
      <c r="E101">
        <f t="shared" si="1"/>
        <v>4</v>
      </c>
    </row>
    <row r="102" spans="1:5" x14ac:dyDescent="0.2">
      <c r="A102" s="20">
        <v>43944</v>
      </c>
      <c r="B102">
        <v>3370</v>
      </c>
      <c r="C102">
        <v>437</v>
      </c>
      <c r="D102">
        <v>37083</v>
      </c>
      <c r="E102">
        <f t="shared" si="1"/>
        <v>4</v>
      </c>
    </row>
    <row r="103" spans="1:5" x14ac:dyDescent="0.2">
      <c r="A103" s="20">
        <v>43935</v>
      </c>
      <c r="B103">
        <v>3153</v>
      </c>
      <c r="C103">
        <v>564</v>
      </c>
      <c r="E103">
        <f t="shared" si="1"/>
        <v>4</v>
      </c>
    </row>
    <row r="104" spans="1:5" x14ac:dyDescent="0.2">
      <c r="A104" s="20">
        <v>43941</v>
      </c>
      <c r="B104">
        <v>3047</v>
      </c>
      <c r="C104">
        <v>433</v>
      </c>
      <c r="D104">
        <v>7841</v>
      </c>
      <c r="E104">
        <f t="shared" si="1"/>
        <v>4</v>
      </c>
    </row>
    <row r="105" spans="1:5" x14ac:dyDescent="0.2">
      <c r="A105" s="20">
        <v>43929</v>
      </c>
      <c r="B105">
        <v>3039</v>
      </c>
      <c r="C105">
        <v>604</v>
      </c>
      <c r="E105">
        <f t="shared" si="1"/>
        <v>4</v>
      </c>
    </row>
    <row r="106" spans="1:5" x14ac:dyDescent="0.2">
      <c r="A106" s="20">
        <v>43946</v>
      </c>
      <c r="B106">
        <v>3021</v>
      </c>
      <c r="C106">
        <v>420</v>
      </c>
      <c r="D106">
        <v>38676</v>
      </c>
      <c r="E106">
        <f t="shared" si="1"/>
        <v>4</v>
      </c>
    </row>
    <row r="107" spans="1:5" x14ac:dyDescent="0.2">
      <c r="A107" s="20">
        <v>43936</v>
      </c>
      <c r="B107">
        <v>2972</v>
      </c>
      <c r="C107">
        <v>604</v>
      </c>
      <c r="E107">
        <f t="shared" si="1"/>
        <v>4</v>
      </c>
    </row>
    <row r="108" spans="1:5" x14ac:dyDescent="0.2">
      <c r="A108" s="20">
        <v>43906</v>
      </c>
      <c r="B108">
        <v>2823</v>
      </c>
      <c r="C108">
        <v>370</v>
      </c>
      <c r="E108">
        <f t="shared" si="1"/>
        <v>3</v>
      </c>
    </row>
    <row r="109" spans="1:5" x14ac:dyDescent="0.2">
      <c r="A109" s="20">
        <v>43943</v>
      </c>
      <c r="B109">
        <v>2729</v>
      </c>
      <c r="C109">
        <v>534</v>
      </c>
      <c r="D109">
        <v>44248</v>
      </c>
      <c r="E109">
        <f t="shared" si="1"/>
        <v>4</v>
      </c>
    </row>
    <row r="110" spans="1:5" x14ac:dyDescent="0.2">
      <c r="A110" s="20">
        <v>43937</v>
      </c>
      <c r="B110">
        <v>2667</v>
      </c>
      <c r="C110">
        <v>578</v>
      </c>
      <c r="E110">
        <f t="shared" si="1"/>
        <v>4</v>
      </c>
    </row>
    <row r="111" spans="1:5" x14ac:dyDescent="0.2">
      <c r="A111" s="20">
        <v>43903</v>
      </c>
      <c r="B111">
        <v>2651</v>
      </c>
      <c r="C111">
        <v>189</v>
      </c>
      <c r="E111">
        <f t="shared" si="1"/>
        <v>3</v>
      </c>
    </row>
    <row r="112" spans="1:5" x14ac:dyDescent="0.2">
      <c r="A112" s="20">
        <v>43945</v>
      </c>
      <c r="B112">
        <v>2646</v>
      </c>
      <c r="C112">
        <v>464</v>
      </c>
      <c r="D112">
        <v>95273</v>
      </c>
      <c r="E112">
        <f t="shared" si="1"/>
        <v>4</v>
      </c>
    </row>
    <row r="113" spans="1:5" x14ac:dyDescent="0.2">
      <c r="A113" s="20">
        <v>43904</v>
      </c>
      <c r="B113">
        <v>2547</v>
      </c>
      <c r="C113">
        <v>252</v>
      </c>
      <c r="E113">
        <f t="shared" si="1"/>
        <v>3</v>
      </c>
    </row>
    <row r="114" spans="1:5" x14ac:dyDescent="0.2">
      <c r="A114" s="20">
        <v>43947</v>
      </c>
      <c r="B114">
        <v>2357</v>
      </c>
      <c r="C114">
        <v>415</v>
      </c>
      <c r="D114">
        <v>24113</v>
      </c>
      <c r="E114">
        <f t="shared" si="1"/>
        <v>4</v>
      </c>
    </row>
    <row r="115" spans="1:5" x14ac:dyDescent="0.2">
      <c r="A115" s="20">
        <v>43948</v>
      </c>
      <c r="B115">
        <v>2324</v>
      </c>
      <c r="C115">
        <v>260</v>
      </c>
      <c r="D115">
        <v>26678</v>
      </c>
      <c r="E115">
        <f t="shared" si="1"/>
        <v>4</v>
      </c>
    </row>
    <row r="116" spans="1:5" x14ac:dyDescent="0.2">
      <c r="A116" s="20">
        <v>43902</v>
      </c>
      <c r="B116">
        <v>2313</v>
      </c>
      <c r="C116">
        <v>196</v>
      </c>
      <c r="E116">
        <f t="shared" si="1"/>
        <v>3</v>
      </c>
    </row>
    <row r="117" spans="1:5" x14ac:dyDescent="0.2">
      <c r="A117" s="20">
        <v>43942</v>
      </c>
      <c r="B117">
        <v>2256</v>
      </c>
      <c r="C117">
        <v>454</v>
      </c>
      <c r="D117">
        <v>28095</v>
      </c>
      <c r="E117">
        <f t="shared" si="1"/>
        <v>4</v>
      </c>
    </row>
    <row r="118" spans="1:5" x14ac:dyDescent="0.2">
      <c r="A118" s="20">
        <v>43950</v>
      </c>
      <c r="B118">
        <v>2091</v>
      </c>
      <c r="C118">
        <v>382</v>
      </c>
      <c r="D118">
        <v>38589</v>
      </c>
      <c r="E118">
        <f t="shared" si="1"/>
        <v>4</v>
      </c>
    </row>
    <row r="119" spans="1:5" x14ac:dyDescent="0.2">
      <c r="A119" s="20">
        <v>43951</v>
      </c>
      <c r="B119">
        <v>2086</v>
      </c>
      <c r="C119">
        <v>323</v>
      </c>
      <c r="D119">
        <v>41441</v>
      </c>
      <c r="E119">
        <f t="shared" si="1"/>
        <v>4</v>
      </c>
    </row>
    <row r="120" spans="1:5" x14ac:dyDescent="0.2">
      <c r="A120" s="20">
        <v>43953</v>
      </c>
      <c r="B120">
        <v>1965</v>
      </c>
      <c r="C120">
        <v>269</v>
      </c>
      <c r="D120">
        <v>31231</v>
      </c>
      <c r="E120">
        <f t="shared" si="1"/>
        <v>5</v>
      </c>
    </row>
    <row r="121" spans="1:5" x14ac:dyDescent="0.2">
      <c r="A121" s="20">
        <v>43954</v>
      </c>
      <c r="B121">
        <v>1900</v>
      </c>
      <c r="C121">
        <v>474</v>
      </c>
      <c r="D121">
        <v>27047</v>
      </c>
      <c r="E121">
        <f t="shared" si="1"/>
        <v>5</v>
      </c>
    </row>
    <row r="122" spans="1:5" x14ac:dyDescent="0.2">
      <c r="A122" s="20">
        <v>43952</v>
      </c>
      <c r="B122">
        <v>1872</v>
      </c>
      <c r="C122">
        <v>285</v>
      </c>
      <c r="D122">
        <v>43732</v>
      </c>
      <c r="E122">
        <f t="shared" si="1"/>
        <v>5</v>
      </c>
    </row>
    <row r="123" spans="1:5" x14ac:dyDescent="0.2">
      <c r="A123" s="20">
        <v>43900</v>
      </c>
      <c r="B123">
        <v>1797</v>
      </c>
      <c r="C123">
        <v>98</v>
      </c>
      <c r="E123">
        <f t="shared" si="1"/>
        <v>3</v>
      </c>
    </row>
    <row r="124" spans="1:5" x14ac:dyDescent="0.2">
      <c r="A124" s="20">
        <v>43949</v>
      </c>
      <c r="B124">
        <v>1739</v>
      </c>
      <c r="C124">
        <v>333</v>
      </c>
      <c r="D124">
        <v>37554</v>
      </c>
      <c r="E124">
        <f t="shared" si="1"/>
        <v>4</v>
      </c>
    </row>
    <row r="125" spans="1:5" x14ac:dyDescent="0.2">
      <c r="A125" s="20">
        <v>43899</v>
      </c>
      <c r="B125">
        <v>1492</v>
      </c>
      <c r="C125">
        <v>133</v>
      </c>
      <c r="E125">
        <f t="shared" si="1"/>
        <v>3</v>
      </c>
    </row>
    <row r="126" spans="1:5" x14ac:dyDescent="0.2">
      <c r="A126" s="20">
        <v>44072</v>
      </c>
      <c r="B126">
        <v>1460</v>
      </c>
      <c r="C126">
        <v>9</v>
      </c>
      <c r="D126">
        <v>64294</v>
      </c>
      <c r="E126">
        <f t="shared" si="1"/>
        <v>8</v>
      </c>
    </row>
    <row r="127" spans="1:5" x14ac:dyDescent="0.2">
      <c r="A127" s="20">
        <v>43958</v>
      </c>
      <c r="B127">
        <v>1444</v>
      </c>
      <c r="C127">
        <v>369</v>
      </c>
      <c r="D127">
        <v>13665</v>
      </c>
      <c r="E127">
        <f t="shared" si="1"/>
        <v>5</v>
      </c>
    </row>
    <row r="128" spans="1:5" x14ac:dyDescent="0.2">
      <c r="A128" s="20">
        <v>44073</v>
      </c>
      <c r="B128">
        <v>1444</v>
      </c>
      <c r="C128">
        <v>1</v>
      </c>
      <c r="D128">
        <v>53541</v>
      </c>
      <c r="E128">
        <f t="shared" si="1"/>
        <v>8</v>
      </c>
    </row>
    <row r="129" spans="1:5" x14ac:dyDescent="0.2">
      <c r="A129" s="20">
        <v>44071</v>
      </c>
      <c r="B129">
        <v>1409</v>
      </c>
      <c r="C129">
        <v>5</v>
      </c>
      <c r="D129">
        <v>65135</v>
      </c>
      <c r="E129">
        <f t="shared" si="1"/>
        <v>8</v>
      </c>
    </row>
    <row r="130" spans="1:5" x14ac:dyDescent="0.2">
      <c r="A130" s="20">
        <v>43964</v>
      </c>
      <c r="B130">
        <v>1402</v>
      </c>
      <c r="C130">
        <v>172</v>
      </c>
      <c r="D130">
        <v>37049</v>
      </c>
      <c r="E130">
        <f t="shared" si="1"/>
        <v>5</v>
      </c>
    </row>
    <row r="131" spans="1:5" x14ac:dyDescent="0.2">
      <c r="A131" s="20">
        <v>43959</v>
      </c>
      <c r="B131">
        <v>1401</v>
      </c>
      <c r="C131">
        <v>274</v>
      </c>
      <c r="D131">
        <v>45428</v>
      </c>
      <c r="E131">
        <f t="shared" si="1"/>
        <v>5</v>
      </c>
    </row>
    <row r="132" spans="1:5" x14ac:dyDescent="0.2">
      <c r="A132" s="20">
        <v>43955</v>
      </c>
      <c r="B132">
        <v>1389</v>
      </c>
      <c r="C132">
        <v>174</v>
      </c>
      <c r="D132">
        <v>22999</v>
      </c>
      <c r="E132">
        <f t="shared" si="1"/>
        <v>5</v>
      </c>
    </row>
    <row r="133" spans="1:5" x14ac:dyDescent="0.2">
      <c r="A133" s="20">
        <v>44070</v>
      </c>
      <c r="B133">
        <v>1366</v>
      </c>
      <c r="C133">
        <v>13</v>
      </c>
      <c r="D133">
        <v>57640</v>
      </c>
      <c r="E133">
        <f t="shared" si="1"/>
        <v>8</v>
      </c>
    </row>
    <row r="134" spans="1:5" hidden="1" x14ac:dyDescent="0.2">
      <c r="A134" s="20">
        <v>43962</v>
      </c>
      <c r="B134">
        <v>802</v>
      </c>
      <c r="C134">
        <v>165</v>
      </c>
      <c r="D134">
        <v>25823</v>
      </c>
    </row>
    <row r="135" spans="1:5" hidden="1" x14ac:dyDescent="0.2">
      <c r="A135" s="20">
        <v>43963</v>
      </c>
      <c r="B135">
        <v>744</v>
      </c>
      <c r="C135">
        <v>179</v>
      </c>
      <c r="D135">
        <v>39620</v>
      </c>
    </row>
    <row r="136" spans="1:5" x14ac:dyDescent="0.2">
      <c r="A136" s="20">
        <v>44074</v>
      </c>
      <c r="B136">
        <v>1365</v>
      </c>
      <c r="C136">
        <v>4</v>
      </c>
      <c r="D136">
        <v>42583</v>
      </c>
      <c r="E136">
        <f>MONTH(A136)</f>
        <v>8</v>
      </c>
    </row>
    <row r="137" spans="1:5" hidden="1" x14ac:dyDescent="0.2">
      <c r="A137" s="20">
        <v>43965</v>
      </c>
      <c r="B137">
        <v>888</v>
      </c>
      <c r="C137">
        <v>195</v>
      </c>
      <c r="D137">
        <v>41131</v>
      </c>
    </row>
    <row r="138" spans="1:5" hidden="1" x14ac:dyDescent="0.2">
      <c r="A138" s="20">
        <v>43966</v>
      </c>
      <c r="B138">
        <v>992</v>
      </c>
      <c r="C138">
        <v>262</v>
      </c>
      <c r="D138">
        <v>39027</v>
      </c>
    </row>
    <row r="139" spans="1:5" hidden="1" x14ac:dyDescent="0.2">
      <c r="A139" s="20">
        <v>43967</v>
      </c>
      <c r="B139">
        <v>789</v>
      </c>
      <c r="C139">
        <v>242</v>
      </c>
      <c r="D139">
        <v>40657</v>
      </c>
    </row>
    <row r="140" spans="1:5" hidden="1" x14ac:dyDescent="0.2">
      <c r="A140" s="20">
        <v>43968</v>
      </c>
      <c r="B140">
        <v>875</v>
      </c>
      <c r="C140">
        <v>153</v>
      </c>
      <c r="D140">
        <v>33505</v>
      </c>
    </row>
    <row r="141" spans="1:5" hidden="1" x14ac:dyDescent="0.2">
      <c r="A141" s="20">
        <v>43969</v>
      </c>
      <c r="B141">
        <v>675</v>
      </c>
      <c r="C141">
        <v>145</v>
      </c>
      <c r="D141">
        <v>26101</v>
      </c>
    </row>
    <row r="142" spans="1:5" hidden="1" x14ac:dyDescent="0.2">
      <c r="A142" s="20">
        <v>43970</v>
      </c>
      <c r="B142">
        <v>451</v>
      </c>
      <c r="C142">
        <v>99</v>
      </c>
      <c r="D142">
        <v>40226</v>
      </c>
    </row>
    <row r="143" spans="1:5" hidden="1" x14ac:dyDescent="0.2">
      <c r="A143" s="20">
        <v>43971</v>
      </c>
      <c r="B143">
        <v>813</v>
      </c>
      <c r="C143">
        <v>162</v>
      </c>
      <c r="D143">
        <v>38617</v>
      </c>
    </row>
    <row r="144" spans="1:5" hidden="1" x14ac:dyDescent="0.2">
      <c r="A144" s="20">
        <v>43972</v>
      </c>
      <c r="B144">
        <v>665</v>
      </c>
      <c r="C144">
        <v>161</v>
      </c>
      <c r="D144">
        <v>40644</v>
      </c>
    </row>
    <row r="145" spans="1:4" hidden="1" x14ac:dyDescent="0.2">
      <c r="A145" s="20">
        <v>43973</v>
      </c>
      <c r="B145">
        <v>642</v>
      </c>
      <c r="C145">
        <v>156</v>
      </c>
      <c r="D145">
        <v>42987</v>
      </c>
    </row>
    <row r="146" spans="1:4" hidden="1" x14ac:dyDescent="0.2">
      <c r="A146" s="20">
        <v>43974</v>
      </c>
      <c r="B146">
        <v>652</v>
      </c>
      <c r="C146">
        <v>130</v>
      </c>
      <c r="D146">
        <v>42579</v>
      </c>
    </row>
    <row r="147" spans="1:4" hidden="1" x14ac:dyDescent="0.2">
      <c r="A147" s="20">
        <v>43975</v>
      </c>
      <c r="B147">
        <v>669</v>
      </c>
      <c r="C147">
        <v>119</v>
      </c>
      <c r="D147">
        <v>34206</v>
      </c>
    </row>
    <row r="148" spans="1:4" hidden="1" x14ac:dyDescent="0.2">
      <c r="A148" s="20">
        <v>43976</v>
      </c>
      <c r="B148">
        <v>531</v>
      </c>
      <c r="C148">
        <v>50</v>
      </c>
      <c r="D148">
        <v>20676</v>
      </c>
    </row>
    <row r="149" spans="1:4" hidden="1" x14ac:dyDescent="0.2">
      <c r="A149" s="20">
        <v>43977</v>
      </c>
      <c r="B149">
        <v>300</v>
      </c>
      <c r="C149">
        <v>92</v>
      </c>
      <c r="D149">
        <v>33944</v>
      </c>
    </row>
    <row r="150" spans="1:4" hidden="1" x14ac:dyDescent="0.2">
      <c r="A150" s="20">
        <v>43978</v>
      </c>
      <c r="B150">
        <v>397</v>
      </c>
      <c r="C150">
        <v>78</v>
      </c>
      <c r="D150">
        <v>37299</v>
      </c>
    </row>
    <row r="151" spans="1:4" hidden="1" x14ac:dyDescent="0.2">
      <c r="A151" s="20">
        <v>43979</v>
      </c>
      <c r="B151">
        <v>584</v>
      </c>
      <c r="C151">
        <v>117</v>
      </c>
      <c r="D151">
        <v>39838</v>
      </c>
    </row>
    <row r="152" spans="1:4" hidden="1" x14ac:dyDescent="0.2">
      <c r="A152" s="20">
        <v>43980</v>
      </c>
      <c r="B152">
        <v>593</v>
      </c>
      <c r="C152">
        <v>70</v>
      </c>
      <c r="D152">
        <v>38233</v>
      </c>
    </row>
    <row r="153" spans="1:4" hidden="1" x14ac:dyDescent="0.2">
      <c r="A153" s="20">
        <v>43981</v>
      </c>
      <c r="B153">
        <v>516</v>
      </c>
      <c r="C153">
        <v>87</v>
      </c>
      <c r="D153">
        <v>36051</v>
      </c>
    </row>
    <row r="154" spans="1:4" hidden="1" x14ac:dyDescent="0.2">
      <c r="A154" s="20">
        <v>43982</v>
      </c>
      <c r="B154">
        <v>416</v>
      </c>
      <c r="C154">
        <v>111</v>
      </c>
      <c r="D154">
        <v>28948</v>
      </c>
    </row>
    <row r="155" spans="1:4" hidden="1" x14ac:dyDescent="0.2">
      <c r="A155" s="20">
        <v>43983</v>
      </c>
      <c r="B155">
        <v>355</v>
      </c>
      <c r="C155">
        <v>75</v>
      </c>
      <c r="D155">
        <v>18053</v>
      </c>
    </row>
    <row r="156" spans="1:4" hidden="1" x14ac:dyDescent="0.2">
      <c r="A156" s="20">
        <v>43984</v>
      </c>
      <c r="B156">
        <v>178</v>
      </c>
      <c r="C156">
        <v>60</v>
      </c>
      <c r="D156">
        <v>25628</v>
      </c>
    </row>
    <row r="157" spans="1:4" hidden="1" x14ac:dyDescent="0.2">
      <c r="A157" s="20">
        <v>43985</v>
      </c>
      <c r="B157">
        <v>318</v>
      </c>
      <c r="C157">
        <v>55</v>
      </c>
      <c r="D157">
        <v>20035</v>
      </c>
    </row>
    <row r="158" spans="1:4" hidden="1" x14ac:dyDescent="0.2">
      <c r="A158" s="20">
        <v>43986</v>
      </c>
      <c r="B158">
        <v>321</v>
      </c>
      <c r="C158">
        <v>71</v>
      </c>
      <c r="D158">
        <v>27451</v>
      </c>
    </row>
    <row r="159" spans="1:4" hidden="1" x14ac:dyDescent="0.2">
      <c r="A159" s="20">
        <v>43987</v>
      </c>
      <c r="B159">
        <v>177</v>
      </c>
      <c r="C159">
        <v>88</v>
      </c>
      <c r="D159">
        <v>40470</v>
      </c>
    </row>
    <row r="160" spans="1:4" hidden="1" x14ac:dyDescent="0.2">
      <c r="A160" s="20">
        <v>43988</v>
      </c>
      <c r="B160">
        <v>518</v>
      </c>
      <c r="C160">
        <v>85</v>
      </c>
      <c r="D160">
        <v>34036</v>
      </c>
    </row>
    <row r="161" spans="1:4" hidden="1" x14ac:dyDescent="0.2">
      <c r="A161" s="20">
        <v>43989</v>
      </c>
      <c r="B161">
        <v>270</v>
      </c>
      <c r="C161">
        <v>72</v>
      </c>
      <c r="D161">
        <v>27894</v>
      </c>
    </row>
    <row r="162" spans="1:4" hidden="1" x14ac:dyDescent="0.2">
      <c r="A162" s="20">
        <v>43990</v>
      </c>
      <c r="B162">
        <v>197</v>
      </c>
      <c r="C162">
        <v>53</v>
      </c>
      <c r="D162">
        <v>16301</v>
      </c>
    </row>
    <row r="163" spans="1:4" hidden="1" x14ac:dyDescent="0.2">
      <c r="A163" s="20">
        <v>43991</v>
      </c>
      <c r="B163">
        <v>280</v>
      </c>
      <c r="C163">
        <v>65</v>
      </c>
      <c r="D163">
        <v>32200</v>
      </c>
    </row>
    <row r="164" spans="1:4" hidden="1" x14ac:dyDescent="0.2">
      <c r="A164" s="20">
        <v>43992</v>
      </c>
      <c r="B164">
        <v>283</v>
      </c>
      <c r="C164">
        <v>79</v>
      </c>
      <c r="D164">
        <v>37865</v>
      </c>
    </row>
    <row r="165" spans="1:4" hidden="1" x14ac:dyDescent="0.2">
      <c r="A165" s="20">
        <v>43993</v>
      </c>
      <c r="B165">
        <v>202</v>
      </c>
      <c r="C165">
        <v>71</v>
      </c>
      <c r="D165">
        <v>32991</v>
      </c>
    </row>
    <row r="166" spans="1:4" hidden="1" x14ac:dyDescent="0.2">
      <c r="A166" s="20">
        <v>43994</v>
      </c>
      <c r="B166">
        <v>379</v>
      </c>
      <c r="C166">
        <v>53</v>
      </c>
      <c r="D166">
        <v>37651</v>
      </c>
    </row>
    <row r="167" spans="1:4" hidden="1" x14ac:dyDescent="0.2">
      <c r="A167" s="20">
        <v>43995</v>
      </c>
      <c r="B167">
        <v>163</v>
      </c>
      <c r="C167">
        <v>56</v>
      </c>
      <c r="D167">
        <v>32880</v>
      </c>
    </row>
    <row r="168" spans="1:4" hidden="1" x14ac:dyDescent="0.2">
      <c r="A168" s="20">
        <v>43996</v>
      </c>
      <c r="B168">
        <v>346</v>
      </c>
      <c r="C168">
        <v>78</v>
      </c>
      <c r="D168">
        <v>29545</v>
      </c>
    </row>
    <row r="169" spans="1:4" hidden="1" x14ac:dyDescent="0.2">
      <c r="A169" s="20">
        <v>43997</v>
      </c>
      <c r="B169">
        <v>338</v>
      </c>
      <c r="C169">
        <v>44</v>
      </c>
      <c r="D169">
        <v>17463</v>
      </c>
    </row>
    <row r="170" spans="1:4" hidden="1" x14ac:dyDescent="0.2">
      <c r="A170" s="20">
        <v>43998</v>
      </c>
      <c r="B170">
        <v>301</v>
      </c>
      <c r="C170">
        <v>26</v>
      </c>
      <c r="D170">
        <v>27762</v>
      </c>
    </row>
    <row r="171" spans="1:4" hidden="1" x14ac:dyDescent="0.2">
      <c r="A171" s="20">
        <v>43999</v>
      </c>
      <c r="B171">
        <v>210</v>
      </c>
      <c r="C171">
        <v>34</v>
      </c>
      <c r="D171">
        <v>33957</v>
      </c>
    </row>
    <row r="172" spans="1:4" hidden="1" x14ac:dyDescent="0.2">
      <c r="A172" s="20">
        <v>44000</v>
      </c>
      <c r="B172">
        <v>328</v>
      </c>
      <c r="C172">
        <v>43</v>
      </c>
      <c r="D172">
        <v>32921</v>
      </c>
    </row>
    <row r="173" spans="1:4" hidden="1" x14ac:dyDescent="0.2">
      <c r="A173" s="20">
        <v>44001</v>
      </c>
      <c r="B173">
        <v>331</v>
      </c>
      <c r="C173">
        <v>66</v>
      </c>
      <c r="D173">
        <v>28570</v>
      </c>
    </row>
    <row r="174" spans="1:4" hidden="1" x14ac:dyDescent="0.2">
      <c r="A174" s="20">
        <v>44002</v>
      </c>
      <c r="B174">
        <v>-148</v>
      </c>
      <c r="C174">
        <v>47</v>
      </c>
      <c r="D174">
        <v>29875</v>
      </c>
    </row>
    <row r="175" spans="1:4" hidden="1" x14ac:dyDescent="0.2">
      <c r="A175" s="20">
        <v>44003</v>
      </c>
      <c r="B175">
        <v>264</v>
      </c>
      <c r="C175">
        <v>49</v>
      </c>
      <c r="D175">
        <v>24581</v>
      </c>
    </row>
    <row r="176" spans="1:4" hidden="1" x14ac:dyDescent="0.2">
      <c r="A176" s="20">
        <v>44004</v>
      </c>
      <c r="B176">
        <v>224</v>
      </c>
      <c r="C176">
        <v>24</v>
      </c>
      <c r="D176">
        <v>16152</v>
      </c>
    </row>
    <row r="177" spans="1:4" hidden="1" x14ac:dyDescent="0.2">
      <c r="A177" s="20">
        <v>44005</v>
      </c>
      <c r="B177">
        <v>221</v>
      </c>
      <c r="C177">
        <v>23</v>
      </c>
      <c r="D177">
        <v>23225</v>
      </c>
    </row>
    <row r="178" spans="1:4" hidden="1" x14ac:dyDescent="0.2">
      <c r="A178" s="20">
        <v>44006</v>
      </c>
      <c r="B178">
        <v>113</v>
      </c>
      <c r="C178">
        <v>18</v>
      </c>
      <c r="D178">
        <v>30237</v>
      </c>
    </row>
    <row r="179" spans="1:4" hidden="1" x14ac:dyDescent="0.2">
      <c r="A179" s="20">
        <v>44007</v>
      </c>
      <c r="B179">
        <v>577</v>
      </c>
      <c r="C179">
        <v>-31</v>
      </c>
      <c r="D179">
        <v>29421</v>
      </c>
    </row>
    <row r="180" spans="1:4" hidden="1" x14ac:dyDescent="0.2">
      <c r="A180" s="20">
        <v>44008</v>
      </c>
      <c r="B180">
        <v>296</v>
      </c>
      <c r="C180">
        <v>34</v>
      </c>
      <c r="D180">
        <v>28331</v>
      </c>
    </row>
    <row r="181" spans="1:4" hidden="1" x14ac:dyDescent="0.2">
      <c r="A181" s="20">
        <v>44009</v>
      </c>
      <c r="B181">
        <v>255</v>
      </c>
      <c r="C181">
        <v>30</v>
      </c>
      <c r="D181">
        <v>29721</v>
      </c>
    </row>
    <row r="182" spans="1:4" hidden="1" x14ac:dyDescent="0.2">
      <c r="A182" s="20">
        <v>44010</v>
      </c>
      <c r="B182">
        <v>175</v>
      </c>
      <c r="C182">
        <v>8</v>
      </c>
      <c r="D182">
        <v>21183</v>
      </c>
    </row>
    <row r="183" spans="1:4" hidden="1" x14ac:dyDescent="0.2">
      <c r="A183" s="20">
        <v>44011</v>
      </c>
      <c r="B183">
        <v>174</v>
      </c>
      <c r="C183">
        <v>22</v>
      </c>
      <c r="D183">
        <v>15484</v>
      </c>
    </row>
    <row r="184" spans="1:4" hidden="1" x14ac:dyDescent="0.2">
      <c r="A184" s="20">
        <v>44012</v>
      </c>
      <c r="B184">
        <v>126</v>
      </c>
      <c r="C184">
        <v>6</v>
      </c>
      <c r="D184">
        <v>28471</v>
      </c>
    </row>
    <row r="185" spans="1:4" hidden="1" x14ac:dyDescent="0.2">
      <c r="A185" s="20">
        <v>44013</v>
      </c>
      <c r="B185">
        <v>142</v>
      </c>
      <c r="C185">
        <v>23</v>
      </c>
      <c r="D185">
        <v>29325</v>
      </c>
    </row>
    <row r="186" spans="1:4" hidden="1" x14ac:dyDescent="0.2">
      <c r="A186" s="20">
        <v>44014</v>
      </c>
      <c r="B186">
        <v>182</v>
      </c>
      <c r="C186">
        <v>21</v>
      </c>
      <c r="D186">
        <v>29147</v>
      </c>
    </row>
    <row r="187" spans="1:4" hidden="1" x14ac:dyDescent="0.2">
      <c r="A187" s="20">
        <v>44015</v>
      </c>
      <c r="B187">
        <v>201</v>
      </c>
      <c r="C187">
        <v>30</v>
      </c>
      <c r="D187">
        <v>25680</v>
      </c>
    </row>
    <row r="188" spans="1:4" hidden="1" x14ac:dyDescent="0.2">
      <c r="A188" s="20">
        <v>44016</v>
      </c>
      <c r="B188">
        <v>223</v>
      </c>
      <c r="C188">
        <v>15</v>
      </c>
      <c r="D188">
        <v>28946</v>
      </c>
    </row>
    <row r="189" spans="1:4" hidden="1" x14ac:dyDescent="0.2">
      <c r="A189" s="20">
        <v>44017</v>
      </c>
      <c r="B189">
        <v>235</v>
      </c>
      <c r="C189">
        <v>21</v>
      </c>
      <c r="D189">
        <v>21166</v>
      </c>
    </row>
    <row r="190" spans="1:4" hidden="1" x14ac:dyDescent="0.2">
      <c r="A190" s="20">
        <v>44018</v>
      </c>
      <c r="B190">
        <v>192</v>
      </c>
      <c r="C190">
        <v>7</v>
      </c>
      <c r="D190">
        <v>13771</v>
      </c>
    </row>
    <row r="191" spans="1:4" hidden="1" x14ac:dyDescent="0.2">
      <c r="A191" s="20">
        <v>44019</v>
      </c>
      <c r="B191">
        <v>208</v>
      </c>
      <c r="C191">
        <v>8</v>
      </c>
      <c r="D191">
        <v>22490</v>
      </c>
    </row>
    <row r="192" spans="1:4" hidden="1" x14ac:dyDescent="0.2">
      <c r="A192" s="20">
        <v>44020</v>
      </c>
      <c r="B192">
        <v>137</v>
      </c>
      <c r="C192">
        <v>30</v>
      </c>
      <c r="D192">
        <v>28679</v>
      </c>
    </row>
    <row r="193" spans="1:4" hidden="1" x14ac:dyDescent="0.2">
      <c r="A193" s="20">
        <v>44021</v>
      </c>
      <c r="B193">
        <v>193</v>
      </c>
      <c r="C193">
        <v>15</v>
      </c>
      <c r="D193">
        <v>29947</v>
      </c>
    </row>
    <row r="194" spans="1:4" hidden="1" x14ac:dyDescent="0.2">
      <c r="A194" s="20">
        <v>44022</v>
      </c>
      <c r="B194">
        <v>214</v>
      </c>
      <c r="C194">
        <v>12</v>
      </c>
      <c r="D194">
        <v>27251</v>
      </c>
    </row>
    <row r="195" spans="1:4" hidden="1" x14ac:dyDescent="0.2">
      <c r="A195" s="20">
        <v>44023</v>
      </c>
      <c r="B195">
        <v>276</v>
      </c>
      <c r="C195">
        <v>12</v>
      </c>
      <c r="D195">
        <v>25449</v>
      </c>
    </row>
    <row r="196" spans="1:4" hidden="1" x14ac:dyDescent="0.2">
      <c r="A196" s="20">
        <v>44024</v>
      </c>
      <c r="B196">
        <v>188</v>
      </c>
      <c r="C196">
        <v>7</v>
      </c>
      <c r="D196">
        <v>23061</v>
      </c>
    </row>
    <row r="197" spans="1:4" hidden="1" x14ac:dyDescent="0.2">
      <c r="A197" s="20">
        <v>44025</v>
      </c>
      <c r="B197">
        <v>234</v>
      </c>
      <c r="C197">
        <v>9</v>
      </c>
      <c r="D197">
        <v>14006</v>
      </c>
    </row>
    <row r="198" spans="1:4" hidden="1" x14ac:dyDescent="0.2">
      <c r="A198" s="20">
        <v>44026</v>
      </c>
      <c r="B198">
        <v>169</v>
      </c>
      <c r="C198">
        <v>13</v>
      </c>
      <c r="D198">
        <v>24222</v>
      </c>
    </row>
    <row r="199" spans="1:4" hidden="1" x14ac:dyDescent="0.2">
      <c r="A199" s="20">
        <v>44027</v>
      </c>
      <c r="B199">
        <v>114</v>
      </c>
      <c r="C199">
        <v>17</v>
      </c>
      <c r="D199">
        <v>28392</v>
      </c>
    </row>
    <row r="200" spans="1:4" hidden="1" x14ac:dyDescent="0.2">
      <c r="A200" s="20">
        <v>44028</v>
      </c>
      <c r="B200">
        <v>162</v>
      </c>
      <c r="C200">
        <v>13</v>
      </c>
      <c r="D200">
        <v>28089</v>
      </c>
    </row>
    <row r="201" spans="1:4" hidden="1" x14ac:dyDescent="0.2">
      <c r="A201" s="20">
        <v>44029</v>
      </c>
      <c r="B201">
        <v>230</v>
      </c>
      <c r="C201">
        <v>20</v>
      </c>
      <c r="D201">
        <v>28661</v>
      </c>
    </row>
    <row r="202" spans="1:4" hidden="1" x14ac:dyDescent="0.2">
      <c r="A202" s="20">
        <v>44030</v>
      </c>
      <c r="B202">
        <v>231</v>
      </c>
      <c r="C202">
        <v>11</v>
      </c>
      <c r="D202">
        <v>27569</v>
      </c>
    </row>
    <row r="203" spans="1:4" hidden="1" x14ac:dyDescent="0.2">
      <c r="A203" s="20">
        <v>44031</v>
      </c>
      <c r="B203">
        <v>249</v>
      </c>
      <c r="C203">
        <v>14</v>
      </c>
      <c r="D203">
        <v>20621</v>
      </c>
    </row>
    <row r="204" spans="1:4" hidden="1" x14ac:dyDescent="0.2">
      <c r="A204" s="20">
        <v>44032</v>
      </c>
      <c r="B204">
        <v>218</v>
      </c>
      <c r="C204">
        <v>3</v>
      </c>
      <c r="D204">
        <v>14121</v>
      </c>
    </row>
    <row r="205" spans="1:4" hidden="1" x14ac:dyDescent="0.2">
      <c r="A205" s="20">
        <v>44033</v>
      </c>
      <c r="B205">
        <v>190</v>
      </c>
      <c r="C205">
        <v>13</v>
      </c>
      <c r="D205">
        <v>23915</v>
      </c>
    </row>
    <row r="206" spans="1:4" hidden="1" x14ac:dyDescent="0.2">
      <c r="A206" s="20">
        <v>44034</v>
      </c>
      <c r="B206">
        <v>128</v>
      </c>
      <c r="C206">
        <v>15</v>
      </c>
      <c r="D206">
        <v>29288</v>
      </c>
    </row>
    <row r="207" spans="1:4" hidden="1" x14ac:dyDescent="0.2">
      <c r="A207" s="20">
        <v>44035</v>
      </c>
      <c r="B207">
        <v>280</v>
      </c>
      <c r="C207">
        <v>9</v>
      </c>
      <c r="D207">
        <v>33018</v>
      </c>
    </row>
    <row r="208" spans="1:4" hidden="1" x14ac:dyDescent="0.2">
      <c r="A208" s="20">
        <v>44036</v>
      </c>
      <c r="B208">
        <v>306</v>
      </c>
      <c r="C208">
        <v>10</v>
      </c>
      <c r="D208">
        <v>28970</v>
      </c>
    </row>
    <row r="209" spans="1:4" hidden="1" x14ac:dyDescent="0.2">
      <c r="A209" s="20">
        <v>44037</v>
      </c>
      <c r="B209">
        <v>252</v>
      </c>
      <c r="C209">
        <v>5</v>
      </c>
      <c r="D209">
        <v>28059</v>
      </c>
    </row>
    <row r="210" spans="1:4" hidden="1" x14ac:dyDescent="0.2">
      <c r="A210" s="20">
        <v>44038</v>
      </c>
      <c r="B210">
        <v>274</v>
      </c>
      <c r="C210">
        <v>5</v>
      </c>
      <c r="D210">
        <v>25177</v>
      </c>
    </row>
    <row r="211" spans="1:4" hidden="1" x14ac:dyDescent="0.2">
      <c r="A211" s="20">
        <v>44039</v>
      </c>
      <c r="B211">
        <v>254</v>
      </c>
      <c r="C211">
        <v>5</v>
      </c>
      <c r="D211">
        <v>19374</v>
      </c>
    </row>
    <row r="212" spans="1:4" hidden="1" x14ac:dyDescent="0.2">
      <c r="A212" s="20">
        <v>44040</v>
      </c>
      <c r="B212">
        <v>168</v>
      </c>
      <c r="C212">
        <v>5</v>
      </c>
      <c r="D212">
        <v>25341</v>
      </c>
    </row>
    <row r="213" spans="1:4" hidden="1" x14ac:dyDescent="0.2">
      <c r="A213" s="20">
        <v>44041</v>
      </c>
      <c r="B213">
        <v>202</v>
      </c>
      <c r="C213">
        <v>11</v>
      </c>
      <c r="D213">
        <v>30875</v>
      </c>
    </row>
    <row r="214" spans="1:4" hidden="1" x14ac:dyDescent="0.2">
      <c r="A214" s="20">
        <v>44042</v>
      </c>
      <c r="B214">
        <v>288</v>
      </c>
      <c r="C214">
        <v>6</v>
      </c>
      <c r="D214">
        <v>33396</v>
      </c>
    </row>
    <row r="215" spans="1:4" hidden="1" x14ac:dyDescent="0.2">
      <c r="A215" s="20">
        <v>44043</v>
      </c>
      <c r="B215">
        <v>382</v>
      </c>
      <c r="C215">
        <v>3</v>
      </c>
      <c r="D215">
        <v>29686</v>
      </c>
    </row>
    <row r="216" spans="1:4" hidden="1" x14ac:dyDescent="0.2">
      <c r="A216" s="20">
        <v>44044</v>
      </c>
      <c r="B216">
        <v>379</v>
      </c>
      <c r="C216">
        <v>9</v>
      </c>
      <c r="D216">
        <v>31905</v>
      </c>
    </row>
    <row r="217" spans="1:4" hidden="1" x14ac:dyDescent="0.2">
      <c r="A217" s="20">
        <v>44045</v>
      </c>
      <c r="B217">
        <v>295</v>
      </c>
      <c r="C217">
        <v>5</v>
      </c>
      <c r="D217">
        <v>24496</v>
      </c>
    </row>
    <row r="218" spans="1:4" hidden="1" x14ac:dyDescent="0.2">
      <c r="A218" s="20">
        <v>44046</v>
      </c>
      <c r="B218">
        <v>238</v>
      </c>
      <c r="C218">
        <v>8</v>
      </c>
      <c r="D218">
        <v>13467</v>
      </c>
    </row>
    <row r="219" spans="1:4" hidden="1" x14ac:dyDescent="0.2">
      <c r="A219" s="20">
        <v>44047</v>
      </c>
      <c r="B219">
        <v>159</v>
      </c>
      <c r="C219">
        <v>12</v>
      </c>
      <c r="D219">
        <v>23491</v>
      </c>
    </row>
    <row r="220" spans="1:4" hidden="1" x14ac:dyDescent="0.2">
      <c r="A220" s="20">
        <v>44048</v>
      </c>
      <c r="B220">
        <v>190</v>
      </c>
      <c r="C220">
        <v>5</v>
      </c>
      <c r="D220">
        <v>29739</v>
      </c>
    </row>
    <row r="221" spans="1:4" hidden="1" x14ac:dyDescent="0.2">
      <c r="A221" s="20">
        <v>44049</v>
      </c>
      <c r="B221">
        <v>384</v>
      </c>
      <c r="C221">
        <v>10</v>
      </c>
      <c r="D221">
        <v>32169</v>
      </c>
    </row>
    <row r="222" spans="1:4" hidden="1" x14ac:dyDescent="0.2">
      <c r="A222" s="20">
        <v>44050</v>
      </c>
      <c r="B222">
        <v>401</v>
      </c>
      <c r="C222">
        <v>6</v>
      </c>
      <c r="D222">
        <v>30392</v>
      </c>
    </row>
    <row r="223" spans="1:4" hidden="1" x14ac:dyDescent="0.2">
      <c r="A223" s="20">
        <v>44051</v>
      </c>
      <c r="B223">
        <v>552</v>
      </c>
      <c r="C223">
        <v>3</v>
      </c>
      <c r="D223">
        <v>26631</v>
      </c>
    </row>
    <row r="224" spans="1:4" hidden="1" x14ac:dyDescent="0.2">
      <c r="A224" s="20">
        <v>44052</v>
      </c>
      <c r="B224">
        <v>347</v>
      </c>
      <c r="C224">
        <v>13</v>
      </c>
      <c r="D224">
        <v>22773</v>
      </c>
    </row>
    <row r="225" spans="1:5" hidden="1" x14ac:dyDescent="0.2">
      <c r="A225" s="20">
        <v>44053</v>
      </c>
      <c r="B225">
        <v>463</v>
      </c>
      <c r="C225">
        <v>2</v>
      </c>
      <c r="D225">
        <v>10904</v>
      </c>
    </row>
    <row r="226" spans="1:5" hidden="1" x14ac:dyDescent="0.2">
      <c r="A226" s="20">
        <v>44054</v>
      </c>
      <c r="B226">
        <v>259</v>
      </c>
      <c r="C226">
        <v>4</v>
      </c>
      <c r="D226">
        <v>22063</v>
      </c>
    </row>
    <row r="227" spans="1:5" hidden="1" x14ac:dyDescent="0.2">
      <c r="A227" s="20">
        <v>44055</v>
      </c>
      <c r="B227">
        <v>412</v>
      </c>
      <c r="C227">
        <v>6</v>
      </c>
      <c r="D227">
        <v>27330</v>
      </c>
    </row>
    <row r="228" spans="1:5" hidden="1" x14ac:dyDescent="0.2">
      <c r="A228" s="20">
        <v>44056</v>
      </c>
      <c r="B228">
        <v>476</v>
      </c>
      <c r="C228">
        <v>10</v>
      </c>
      <c r="D228">
        <v>25629</v>
      </c>
    </row>
    <row r="229" spans="1:5" hidden="1" x14ac:dyDescent="0.2">
      <c r="A229" s="20">
        <v>44057</v>
      </c>
      <c r="B229">
        <v>522</v>
      </c>
      <c r="C229">
        <v>6</v>
      </c>
      <c r="D229">
        <v>24868</v>
      </c>
    </row>
    <row r="230" spans="1:5" hidden="1" x14ac:dyDescent="0.2">
      <c r="A230" s="20">
        <v>44058</v>
      </c>
      <c r="B230">
        <v>574</v>
      </c>
      <c r="C230">
        <v>3</v>
      </c>
      <c r="D230">
        <v>25937</v>
      </c>
    </row>
    <row r="231" spans="1:5" hidden="1" x14ac:dyDescent="0.2">
      <c r="A231" s="20">
        <v>44059</v>
      </c>
      <c r="B231">
        <v>629</v>
      </c>
      <c r="C231">
        <v>158</v>
      </c>
      <c r="D231">
        <v>22470</v>
      </c>
    </row>
    <row r="232" spans="1:5" hidden="1" x14ac:dyDescent="0.2">
      <c r="A232" s="20">
        <v>44060</v>
      </c>
      <c r="B232">
        <v>477</v>
      </c>
      <c r="C232">
        <v>4</v>
      </c>
      <c r="D232">
        <v>21379</v>
      </c>
    </row>
    <row r="233" spans="1:5" hidden="1" x14ac:dyDescent="0.2">
      <c r="A233" s="20">
        <v>44061</v>
      </c>
      <c r="B233">
        <v>320</v>
      </c>
      <c r="C233">
        <v>4</v>
      </c>
      <c r="D233">
        <v>32687</v>
      </c>
    </row>
    <row r="234" spans="1:5" hidden="1" x14ac:dyDescent="0.2">
      <c r="A234" s="20">
        <v>44062</v>
      </c>
      <c r="B234">
        <v>401</v>
      </c>
      <c r="C234">
        <v>5</v>
      </c>
      <c r="D234">
        <v>41290</v>
      </c>
    </row>
    <row r="235" spans="1:5" hidden="1" x14ac:dyDescent="0.2">
      <c r="A235" s="20">
        <v>44063</v>
      </c>
      <c r="B235">
        <v>642</v>
      </c>
      <c r="C235">
        <v>7</v>
      </c>
      <c r="D235">
        <v>49662</v>
      </c>
    </row>
    <row r="236" spans="1:5" hidden="1" x14ac:dyDescent="0.2">
      <c r="A236" s="20">
        <v>44064</v>
      </c>
      <c r="B236">
        <v>840</v>
      </c>
      <c r="C236">
        <v>6</v>
      </c>
      <c r="D236">
        <v>44943</v>
      </c>
    </row>
    <row r="237" spans="1:5" hidden="1" x14ac:dyDescent="0.2">
      <c r="A237" s="20">
        <v>44065</v>
      </c>
      <c r="B237">
        <v>947</v>
      </c>
      <c r="C237">
        <v>9</v>
      </c>
      <c r="D237">
        <v>46613</v>
      </c>
    </row>
    <row r="238" spans="1:5" x14ac:dyDescent="0.2">
      <c r="A238" s="20">
        <v>43960</v>
      </c>
      <c r="B238">
        <v>1327</v>
      </c>
      <c r="C238">
        <v>243</v>
      </c>
      <c r="D238">
        <v>36091</v>
      </c>
      <c r="E238">
        <f t="shared" ref="E238:E239" si="2">MONTH(A238)</f>
        <v>5</v>
      </c>
    </row>
    <row r="239" spans="1:5" x14ac:dyDescent="0.2">
      <c r="A239" s="20">
        <v>44077</v>
      </c>
      <c r="B239">
        <v>1326</v>
      </c>
      <c r="C239">
        <v>6</v>
      </c>
      <c r="E239">
        <f t="shared" si="2"/>
        <v>9</v>
      </c>
    </row>
    <row r="240" spans="1:5" hidden="1" x14ac:dyDescent="0.2">
      <c r="A240" s="20">
        <v>44068</v>
      </c>
      <c r="B240">
        <v>953</v>
      </c>
      <c r="C240">
        <v>4</v>
      </c>
      <c r="D240">
        <v>45798</v>
      </c>
    </row>
    <row r="241" spans="1:5" hidden="1" x14ac:dyDescent="0.2">
      <c r="A241" s="20">
        <v>44069</v>
      </c>
      <c r="B241">
        <v>876</v>
      </c>
      <c r="C241">
        <v>4</v>
      </c>
      <c r="D241">
        <v>58054</v>
      </c>
    </row>
    <row r="242" spans="1:5" x14ac:dyDescent="0.2">
      <c r="A242" s="20">
        <v>43898</v>
      </c>
      <c r="B242">
        <v>1247</v>
      </c>
      <c r="C242">
        <v>36</v>
      </c>
      <c r="E242">
        <f t="shared" ref="E242:E246" si="3">MONTH(A242)</f>
        <v>3</v>
      </c>
    </row>
    <row r="243" spans="1:5" x14ac:dyDescent="0.2">
      <c r="A243" s="20">
        <v>43956</v>
      </c>
      <c r="B243">
        <v>1221</v>
      </c>
      <c r="C243">
        <v>195</v>
      </c>
      <c r="D243">
        <v>32211</v>
      </c>
      <c r="E243">
        <f t="shared" si="3"/>
        <v>5</v>
      </c>
    </row>
    <row r="244" spans="1:5" x14ac:dyDescent="0.2">
      <c r="A244" s="20">
        <v>44067</v>
      </c>
      <c r="B244">
        <v>1209</v>
      </c>
      <c r="C244">
        <v>7</v>
      </c>
      <c r="D244">
        <v>33358</v>
      </c>
      <c r="E244">
        <f t="shared" si="3"/>
        <v>8</v>
      </c>
    </row>
    <row r="245" spans="1:5" x14ac:dyDescent="0.2">
      <c r="A245" s="20">
        <v>43961</v>
      </c>
      <c r="B245">
        <v>1083</v>
      </c>
      <c r="C245">
        <v>194</v>
      </c>
      <c r="D245">
        <v>31384</v>
      </c>
      <c r="E245">
        <f t="shared" si="3"/>
        <v>5</v>
      </c>
    </row>
    <row r="246" spans="1:5" x14ac:dyDescent="0.2">
      <c r="A246" s="20">
        <v>43957</v>
      </c>
      <c r="B246">
        <v>1075</v>
      </c>
      <c r="C246">
        <v>236</v>
      </c>
      <c r="D246">
        <v>37771</v>
      </c>
      <c r="E246">
        <f t="shared" si="3"/>
        <v>5</v>
      </c>
    </row>
    <row r="247" spans="1:5" hidden="1" x14ac:dyDescent="0.2">
      <c r="A247" s="20">
        <v>44075</v>
      </c>
      <c r="B247">
        <v>996</v>
      </c>
      <c r="C247">
        <v>6</v>
      </c>
      <c r="D247">
        <v>54395</v>
      </c>
    </row>
    <row r="248" spans="1:5" hidden="1" x14ac:dyDescent="0.2">
      <c r="A248" s="20">
        <v>44076</v>
      </c>
      <c r="B248">
        <v>975</v>
      </c>
      <c r="C248">
        <v>8</v>
      </c>
    </row>
    <row r="249" spans="1:5" x14ac:dyDescent="0.2">
      <c r="A249" s="20">
        <v>44066</v>
      </c>
      <c r="B249">
        <v>1071</v>
      </c>
      <c r="C249">
        <v>3</v>
      </c>
      <c r="D249">
        <v>47463</v>
      </c>
      <c r="E249">
        <f>MONTH(A249)</f>
        <v>8</v>
      </c>
    </row>
  </sheetData>
  <autoFilter ref="A1:D249" xr:uid="{04FA5524-E531-354A-8628-A83F11AB1786}">
    <filterColumn colId="1">
      <customFilters>
        <customFilter operator="greaterThan" val="1000"/>
      </customFilters>
    </filterColumn>
    <sortState xmlns:xlrd2="http://schemas.microsoft.com/office/spreadsheetml/2017/richdata2" ref="A70:D249">
      <sortCondition descending="1" ref="B1:B249"/>
    </sortState>
  </autoFilter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4FF73-E681-774F-A0D9-E31D13001376}">
  <dimension ref="A1:F213"/>
  <sheetViews>
    <sheetView zoomScale="200" workbookViewId="0">
      <selection activeCell="F2" sqref="F2"/>
    </sheetView>
  </sheetViews>
  <sheetFormatPr baseColWidth="10" defaultRowHeight="16" x14ac:dyDescent="0.2"/>
  <cols>
    <col min="1" max="1" width="29" bestFit="1" customWidth="1"/>
    <col min="2" max="2" width="13.1640625" bestFit="1" customWidth="1"/>
    <col min="3" max="3" width="11.1640625" bestFit="1" customWidth="1"/>
    <col min="4" max="4" width="13.83203125" bestFit="1" customWidth="1"/>
    <col min="5" max="5" width="12" customWidth="1"/>
    <col min="6" max="6" width="15.83203125" customWidth="1"/>
  </cols>
  <sheetData>
    <row r="1" spans="1:6" s="1" customFormat="1" x14ac:dyDescent="0.2">
      <c r="A1" s="1" t="s">
        <v>58</v>
      </c>
      <c r="B1" s="1" t="s">
        <v>292</v>
      </c>
      <c r="C1" s="1" t="s">
        <v>293</v>
      </c>
      <c r="D1" s="1" t="s">
        <v>294</v>
      </c>
      <c r="E1" s="1" t="s">
        <v>295</v>
      </c>
      <c r="F1" s="1" t="s">
        <v>296</v>
      </c>
    </row>
    <row r="2" spans="1:6" x14ac:dyDescent="0.2">
      <c r="A2" t="s">
        <v>74</v>
      </c>
      <c r="B2" t="s">
        <v>75</v>
      </c>
      <c r="C2">
        <v>38928341</v>
      </c>
      <c r="D2">
        <v>64.83</v>
      </c>
      <c r="E2">
        <v>0.5</v>
      </c>
      <c r="F2">
        <v>1803.9870000000001</v>
      </c>
    </row>
    <row r="3" spans="1:6" x14ac:dyDescent="0.2">
      <c r="A3" t="s">
        <v>76</v>
      </c>
      <c r="B3" t="s">
        <v>77</v>
      </c>
      <c r="C3">
        <v>2877800</v>
      </c>
      <c r="D3">
        <v>78.569999999999993</v>
      </c>
      <c r="E3">
        <v>2.89</v>
      </c>
      <c r="F3">
        <v>11803.431</v>
      </c>
    </row>
    <row r="4" spans="1:6" x14ac:dyDescent="0.2">
      <c r="A4" t="s">
        <v>78</v>
      </c>
      <c r="B4" t="s">
        <v>79</v>
      </c>
      <c r="C4">
        <v>43851043</v>
      </c>
      <c r="D4">
        <v>76.88</v>
      </c>
      <c r="E4">
        <v>1.9</v>
      </c>
      <c r="F4">
        <v>13913.839</v>
      </c>
    </row>
    <row r="5" spans="1:6" x14ac:dyDescent="0.2">
      <c r="A5" t="s">
        <v>80</v>
      </c>
      <c r="B5" t="s">
        <v>77</v>
      </c>
      <c r="C5">
        <v>77265</v>
      </c>
      <c r="D5">
        <v>83.73</v>
      </c>
    </row>
    <row r="6" spans="1:6" x14ac:dyDescent="0.2">
      <c r="A6" t="s">
        <v>81</v>
      </c>
      <c r="B6" t="s">
        <v>79</v>
      </c>
      <c r="C6">
        <v>32866268</v>
      </c>
      <c r="D6">
        <v>61.15</v>
      </c>
      <c r="F6">
        <v>5819.4949999999999</v>
      </c>
    </row>
    <row r="7" spans="1:6" x14ac:dyDescent="0.2">
      <c r="A7" t="s">
        <v>82</v>
      </c>
      <c r="B7" t="s">
        <v>83</v>
      </c>
      <c r="C7">
        <v>15002</v>
      </c>
      <c r="D7">
        <v>81.88</v>
      </c>
    </row>
    <row r="8" spans="1:6" x14ac:dyDescent="0.2">
      <c r="A8" t="s">
        <v>84</v>
      </c>
      <c r="B8" t="s">
        <v>83</v>
      </c>
      <c r="C8">
        <v>97928</v>
      </c>
      <c r="D8">
        <v>77.02</v>
      </c>
      <c r="E8">
        <v>3.8</v>
      </c>
      <c r="F8">
        <v>21490.942999999999</v>
      </c>
    </row>
    <row r="9" spans="1:6" x14ac:dyDescent="0.2">
      <c r="A9" t="s">
        <v>85</v>
      </c>
      <c r="B9" t="s">
        <v>86</v>
      </c>
      <c r="C9">
        <v>45195777</v>
      </c>
      <c r="D9">
        <v>76.67</v>
      </c>
      <c r="E9">
        <v>5</v>
      </c>
      <c r="F9">
        <v>18933.906999999999</v>
      </c>
    </row>
    <row r="10" spans="1:6" x14ac:dyDescent="0.2">
      <c r="A10" t="s">
        <v>87</v>
      </c>
      <c r="B10" t="s">
        <v>75</v>
      </c>
      <c r="C10">
        <v>2963234</v>
      </c>
      <c r="D10">
        <v>75.09</v>
      </c>
      <c r="E10">
        <v>4.2</v>
      </c>
      <c r="F10">
        <v>8787.58</v>
      </c>
    </row>
    <row r="11" spans="1:6" x14ac:dyDescent="0.2">
      <c r="A11" t="s">
        <v>88</v>
      </c>
      <c r="B11" t="s">
        <v>83</v>
      </c>
      <c r="C11">
        <v>106766</v>
      </c>
      <c r="D11">
        <v>76.290000000000006</v>
      </c>
      <c r="F11">
        <v>35973.781000000003</v>
      </c>
    </row>
    <row r="12" spans="1:6" x14ac:dyDescent="0.2">
      <c r="A12" t="s">
        <v>89</v>
      </c>
      <c r="B12" t="s">
        <v>90</v>
      </c>
      <c r="C12">
        <v>25499881</v>
      </c>
      <c r="D12">
        <v>83.44</v>
      </c>
      <c r="E12">
        <v>3.84</v>
      </c>
      <c r="F12">
        <v>44648.71</v>
      </c>
    </row>
    <row r="13" spans="1:6" x14ac:dyDescent="0.2">
      <c r="A13" t="s">
        <v>91</v>
      </c>
      <c r="B13" t="s">
        <v>77</v>
      </c>
      <c r="C13">
        <v>9006400</v>
      </c>
      <c r="D13">
        <v>81.540000000000006</v>
      </c>
      <c r="E13">
        <v>7.37</v>
      </c>
      <c r="F13">
        <v>45436.6859999999</v>
      </c>
    </row>
    <row r="14" spans="1:6" x14ac:dyDescent="0.2">
      <c r="A14" t="s">
        <v>92</v>
      </c>
      <c r="B14" t="s">
        <v>75</v>
      </c>
      <c r="C14">
        <v>10139175</v>
      </c>
      <c r="D14">
        <v>73</v>
      </c>
      <c r="E14">
        <v>4.7</v>
      </c>
      <c r="F14">
        <v>15847.419</v>
      </c>
    </row>
    <row r="15" spans="1:6" x14ac:dyDescent="0.2">
      <c r="A15" t="s">
        <v>93</v>
      </c>
      <c r="B15" t="s">
        <v>83</v>
      </c>
      <c r="C15">
        <v>393248</v>
      </c>
      <c r="D15">
        <v>73.92</v>
      </c>
      <c r="E15">
        <v>2.9</v>
      </c>
      <c r="F15">
        <v>27717.847000000002</v>
      </c>
    </row>
    <row r="16" spans="1:6" x14ac:dyDescent="0.2">
      <c r="A16" t="s">
        <v>94</v>
      </c>
      <c r="B16" t="s">
        <v>75</v>
      </c>
      <c r="C16">
        <v>1701583</v>
      </c>
      <c r="D16">
        <v>77.290000000000006</v>
      </c>
      <c r="E16">
        <v>2</v>
      </c>
      <c r="F16">
        <v>43290.705000000002</v>
      </c>
    </row>
    <row r="17" spans="1:6" x14ac:dyDescent="0.2">
      <c r="A17" t="s">
        <v>95</v>
      </c>
      <c r="B17" t="s">
        <v>75</v>
      </c>
      <c r="C17">
        <v>164689383</v>
      </c>
      <c r="D17">
        <v>72.59</v>
      </c>
      <c r="E17">
        <v>0.8</v>
      </c>
      <c r="F17">
        <v>3523.9839999999999</v>
      </c>
    </row>
    <row r="18" spans="1:6" x14ac:dyDescent="0.2">
      <c r="A18" t="s">
        <v>96</v>
      </c>
      <c r="B18" t="s">
        <v>83</v>
      </c>
      <c r="C18">
        <v>287371</v>
      </c>
      <c r="D18">
        <v>79.19</v>
      </c>
      <c r="E18">
        <v>5.8</v>
      </c>
      <c r="F18">
        <v>16978.067999999999</v>
      </c>
    </row>
    <row r="19" spans="1:6" x14ac:dyDescent="0.2">
      <c r="A19" t="s">
        <v>97</v>
      </c>
      <c r="B19" t="s">
        <v>77</v>
      </c>
      <c r="C19">
        <v>9449321</v>
      </c>
      <c r="D19">
        <v>74.790000000000006</v>
      </c>
      <c r="E19">
        <v>11</v>
      </c>
      <c r="F19">
        <v>17167.967000000001</v>
      </c>
    </row>
    <row r="20" spans="1:6" x14ac:dyDescent="0.2">
      <c r="A20" t="s">
        <v>98</v>
      </c>
      <c r="B20" t="s">
        <v>77</v>
      </c>
      <c r="C20">
        <v>11589616</v>
      </c>
      <c r="D20">
        <v>81.63</v>
      </c>
      <c r="E20">
        <v>5.64</v>
      </c>
      <c r="F20">
        <v>42658.575999999899</v>
      </c>
    </row>
    <row r="21" spans="1:6" x14ac:dyDescent="0.2">
      <c r="A21" t="s">
        <v>99</v>
      </c>
      <c r="B21" t="s">
        <v>83</v>
      </c>
      <c r="C21">
        <v>397621</v>
      </c>
      <c r="D21">
        <v>74.62</v>
      </c>
      <c r="E21">
        <v>1.3</v>
      </c>
      <c r="F21">
        <v>7824.3619999999901</v>
      </c>
    </row>
    <row r="22" spans="1:6" x14ac:dyDescent="0.2">
      <c r="A22" t="s">
        <v>100</v>
      </c>
      <c r="B22" t="s">
        <v>79</v>
      </c>
      <c r="C22">
        <v>12123198</v>
      </c>
      <c r="D22">
        <v>61.77</v>
      </c>
      <c r="E22">
        <v>0.5</v>
      </c>
      <c r="F22">
        <v>2064.2359999999999</v>
      </c>
    </row>
    <row r="23" spans="1:6" x14ac:dyDescent="0.2">
      <c r="A23" t="s">
        <v>101</v>
      </c>
      <c r="B23" t="s">
        <v>83</v>
      </c>
      <c r="C23">
        <v>62273</v>
      </c>
      <c r="D23">
        <v>82.59</v>
      </c>
      <c r="F23">
        <v>50669.315000000002</v>
      </c>
    </row>
    <row r="24" spans="1:6" x14ac:dyDescent="0.2">
      <c r="A24" t="s">
        <v>102</v>
      </c>
      <c r="B24" t="s">
        <v>75</v>
      </c>
      <c r="C24">
        <v>771612</v>
      </c>
      <c r="D24">
        <v>71.78</v>
      </c>
      <c r="E24">
        <v>1.7</v>
      </c>
      <c r="F24">
        <v>8708.5969999999998</v>
      </c>
    </row>
    <row r="25" spans="1:6" x14ac:dyDescent="0.2">
      <c r="A25" t="s">
        <v>103</v>
      </c>
      <c r="B25" t="s">
        <v>86</v>
      </c>
      <c r="C25">
        <v>11673029</v>
      </c>
      <c r="D25">
        <v>71.510000000000005</v>
      </c>
      <c r="E25">
        <v>1.1000000000000001</v>
      </c>
      <c r="F25">
        <v>6885.8289999999997</v>
      </c>
    </row>
    <row r="26" spans="1:6" x14ac:dyDescent="0.2">
      <c r="A26" t="s">
        <v>104</v>
      </c>
      <c r="B26" t="s">
        <v>83</v>
      </c>
      <c r="C26">
        <v>26221</v>
      </c>
      <c r="D26">
        <v>77.790000000000006</v>
      </c>
    </row>
    <row r="27" spans="1:6" x14ac:dyDescent="0.2">
      <c r="A27" t="s">
        <v>105</v>
      </c>
      <c r="B27" t="s">
        <v>77</v>
      </c>
      <c r="C27">
        <v>3280815</v>
      </c>
      <c r="D27">
        <v>77.400000000000006</v>
      </c>
      <c r="E27">
        <v>3.5</v>
      </c>
      <c r="F27">
        <v>11713.895</v>
      </c>
    </row>
    <row r="28" spans="1:6" x14ac:dyDescent="0.2">
      <c r="A28" t="s">
        <v>106</v>
      </c>
      <c r="B28" t="s">
        <v>79</v>
      </c>
      <c r="C28">
        <v>2351625</v>
      </c>
      <c r="D28">
        <v>69.59</v>
      </c>
      <c r="E28">
        <v>1.8</v>
      </c>
      <c r="F28">
        <v>15807.374</v>
      </c>
    </row>
    <row r="29" spans="1:6" x14ac:dyDescent="0.2">
      <c r="A29" t="s">
        <v>107</v>
      </c>
      <c r="B29" t="s">
        <v>86</v>
      </c>
      <c r="C29">
        <v>212559409</v>
      </c>
      <c r="D29">
        <v>75.88</v>
      </c>
      <c r="E29">
        <v>2.2000000000000002</v>
      </c>
      <c r="F29">
        <v>14103.451999999999</v>
      </c>
    </row>
    <row r="30" spans="1:6" x14ac:dyDescent="0.2">
      <c r="A30" t="s">
        <v>108</v>
      </c>
      <c r="B30" t="s">
        <v>83</v>
      </c>
      <c r="C30">
        <v>30237</v>
      </c>
      <c r="D30">
        <v>79.069999999999993</v>
      </c>
    </row>
    <row r="31" spans="1:6" x14ac:dyDescent="0.2">
      <c r="A31" t="s">
        <v>109</v>
      </c>
      <c r="B31" t="s">
        <v>75</v>
      </c>
      <c r="C31">
        <v>437483</v>
      </c>
      <c r="D31">
        <v>75.86</v>
      </c>
      <c r="E31">
        <v>2.7</v>
      </c>
      <c r="F31">
        <v>71809.250999999902</v>
      </c>
    </row>
    <row r="32" spans="1:6" x14ac:dyDescent="0.2">
      <c r="A32" t="s">
        <v>110</v>
      </c>
      <c r="B32" t="s">
        <v>77</v>
      </c>
      <c r="C32">
        <v>6948445</v>
      </c>
      <c r="D32">
        <v>75.05</v>
      </c>
      <c r="E32">
        <v>7.4539999999999997</v>
      </c>
      <c r="F32">
        <v>18563.307000000001</v>
      </c>
    </row>
    <row r="33" spans="1:6" x14ac:dyDescent="0.2">
      <c r="A33" t="s">
        <v>111</v>
      </c>
      <c r="B33" t="s">
        <v>79</v>
      </c>
      <c r="C33">
        <v>20903278</v>
      </c>
      <c r="D33">
        <v>61.58</v>
      </c>
      <c r="E33">
        <v>0.4</v>
      </c>
      <c r="F33">
        <v>1703.1020000000001</v>
      </c>
    </row>
    <row r="34" spans="1:6" x14ac:dyDescent="0.2">
      <c r="A34" t="s">
        <v>112</v>
      </c>
      <c r="B34" t="s">
        <v>79</v>
      </c>
      <c r="C34">
        <v>11890781</v>
      </c>
      <c r="D34">
        <v>61.58</v>
      </c>
      <c r="E34">
        <v>0.8</v>
      </c>
      <c r="F34">
        <v>702.22500000000002</v>
      </c>
    </row>
    <row r="35" spans="1:6" x14ac:dyDescent="0.2">
      <c r="A35" t="s">
        <v>113</v>
      </c>
      <c r="B35" t="s">
        <v>75</v>
      </c>
      <c r="C35">
        <v>16718971</v>
      </c>
      <c r="D35">
        <v>69.819999999999993</v>
      </c>
      <c r="E35">
        <v>0.8</v>
      </c>
      <c r="F35">
        <v>3645.07</v>
      </c>
    </row>
    <row r="36" spans="1:6" x14ac:dyDescent="0.2">
      <c r="A36" t="s">
        <v>114</v>
      </c>
      <c r="B36" t="s">
        <v>79</v>
      </c>
      <c r="C36">
        <v>26545864</v>
      </c>
      <c r="D36">
        <v>59.29</v>
      </c>
      <c r="E36">
        <v>1.3</v>
      </c>
      <c r="F36">
        <v>3364.9259999999999</v>
      </c>
    </row>
    <row r="37" spans="1:6" x14ac:dyDescent="0.2">
      <c r="A37" t="s">
        <v>115</v>
      </c>
      <c r="B37" t="s">
        <v>83</v>
      </c>
      <c r="C37">
        <v>37742157</v>
      </c>
      <c r="D37">
        <v>82.43</v>
      </c>
      <c r="E37">
        <v>2.5</v>
      </c>
      <c r="F37">
        <v>44017.590999999898</v>
      </c>
    </row>
    <row r="38" spans="1:6" x14ac:dyDescent="0.2">
      <c r="A38" t="s">
        <v>116</v>
      </c>
      <c r="B38" t="s">
        <v>79</v>
      </c>
      <c r="C38">
        <v>555988</v>
      </c>
      <c r="D38">
        <v>72.98</v>
      </c>
      <c r="E38">
        <v>2.1</v>
      </c>
      <c r="F38">
        <v>6222.5540000000001</v>
      </c>
    </row>
    <row r="39" spans="1:6" x14ac:dyDescent="0.2">
      <c r="A39" t="s">
        <v>117</v>
      </c>
      <c r="B39" t="s">
        <v>83</v>
      </c>
      <c r="C39">
        <v>65720</v>
      </c>
      <c r="D39">
        <v>83.92</v>
      </c>
      <c r="F39">
        <v>49903.029000000002</v>
      </c>
    </row>
    <row r="40" spans="1:6" x14ac:dyDescent="0.2">
      <c r="A40" t="s">
        <v>118</v>
      </c>
      <c r="B40" t="s">
        <v>79</v>
      </c>
      <c r="C40">
        <v>4829764</v>
      </c>
      <c r="D40">
        <v>53.28</v>
      </c>
      <c r="E40">
        <v>1</v>
      </c>
      <c r="F40">
        <v>661.24</v>
      </c>
    </row>
    <row r="41" spans="1:6" x14ac:dyDescent="0.2">
      <c r="A41" t="s">
        <v>119</v>
      </c>
      <c r="B41" t="s">
        <v>79</v>
      </c>
      <c r="C41">
        <v>16425859</v>
      </c>
      <c r="D41">
        <v>54.24</v>
      </c>
      <c r="F41">
        <v>1768.15299999999</v>
      </c>
    </row>
    <row r="42" spans="1:6" x14ac:dyDescent="0.2">
      <c r="A42" t="s">
        <v>120</v>
      </c>
      <c r="B42" t="s">
        <v>86</v>
      </c>
      <c r="C42">
        <v>19116209</v>
      </c>
      <c r="D42">
        <v>80.180000000000007</v>
      </c>
      <c r="E42">
        <v>2.11</v>
      </c>
      <c r="F42">
        <v>22767.037</v>
      </c>
    </row>
    <row r="43" spans="1:6" x14ac:dyDescent="0.2">
      <c r="A43" t="s">
        <v>121</v>
      </c>
      <c r="B43" t="s">
        <v>75</v>
      </c>
      <c r="C43">
        <v>1439323774</v>
      </c>
      <c r="D43">
        <v>76.91</v>
      </c>
      <c r="E43">
        <v>4.34</v>
      </c>
      <c r="F43">
        <v>15308.712</v>
      </c>
    </row>
    <row r="44" spans="1:6" x14ac:dyDescent="0.2">
      <c r="A44" t="s">
        <v>122</v>
      </c>
      <c r="B44" t="s">
        <v>86</v>
      </c>
      <c r="C44">
        <v>50882884</v>
      </c>
      <c r="D44">
        <v>77.290000000000006</v>
      </c>
      <c r="E44">
        <v>1.71</v>
      </c>
      <c r="F44">
        <v>13254.9489999999</v>
      </c>
    </row>
    <row r="45" spans="1:6" x14ac:dyDescent="0.2">
      <c r="A45" t="s">
        <v>123</v>
      </c>
      <c r="B45" t="s">
        <v>79</v>
      </c>
      <c r="C45">
        <v>869595</v>
      </c>
      <c r="D45">
        <v>64.319999999999993</v>
      </c>
      <c r="E45">
        <v>2.2000000000000002</v>
      </c>
      <c r="F45">
        <v>1413.89</v>
      </c>
    </row>
    <row r="46" spans="1:6" x14ac:dyDescent="0.2">
      <c r="A46" t="s">
        <v>124</v>
      </c>
      <c r="B46" t="s">
        <v>79</v>
      </c>
      <c r="C46">
        <v>5518092</v>
      </c>
      <c r="D46">
        <v>64.569999999999993</v>
      </c>
      <c r="F46">
        <v>4881.4059999999999</v>
      </c>
    </row>
    <row r="47" spans="1:6" x14ac:dyDescent="0.2">
      <c r="A47" t="s">
        <v>125</v>
      </c>
      <c r="B47" t="s">
        <v>83</v>
      </c>
      <c r="C47">
        <v>5094114</v>
      </c>
      <c r="D47">
        <v>80.28</v>
      </c>
      <c r="E47">
        <v>1.1299999999999999</v>
      </c>
      <c r="F47">
        <v>15524.995000000001</v>
      </c>
    </row>
    <row r="48" spans="1:6" x14ac:dyDescent="0.2">
      <c r="A48" t="s">
        <v>126</v>
      </c>
      <c r="B48" t="s">
        <v>79</v>
      </c>
      <c r="C48">
        <v>26378275</v>
      </c>
      <c r="D48">
        <v>57.78</v>
      </c>
      <c r="F48">
        <v>3601.0059999999999</v>
      </c>
    </row>
    <row r="49" spans="1:6" x14ac:dyDescent="0.2">
      <c r="A49" t="s">
        <v>127</v>
      </c>
      <c r="B49" t="s">
        <v>77</v>
      </c>
      <c r="C49">
        <v>4105268</v>
      </c>
      <c r="D49">
        <v>78.489999999999995</v>
      </c>
      <c r="E49">
        <v>5.54</v>
      </c>
      <c r="F49">
        <v>22669.796999999999</v>
      </c>
    </row>
    <row r="50" spans="1:6" x14ac:dyDescent="0.2">
      <c r="A50" t="s">
        <v>128</v>
      </c>
      <c r="B50" t="s">
        <v>83</v>
      </c>
      <c r="C50">
        <v>11326616</v>
      </c>
      <c r="D50">
        <v>78.8</v>
      </c>
      <c r="E50">
        <v>5.2</v>
      </c>
    </row>
    <row r="51" spans="1:6" x14ac:dyDescent="0.2">
      <c r="A51" t="s">
        <v>129</v>
      </c>
      <c r="B51" t="s">
        <v>83</v>
      </c>
      <c r="C51">
        <v>164100</v>
      </c>
      <c r="D51">
        <v>78.88</v>
      </c>
    </row>
    <row r="52" spans="1:6" x14ac:dyDescent="0.2">
      <c r="A52" t="s">
        <v>130</v>
      </c>
      <c r="B52" t="s">
        <v>77</v>
      </c>
      <c r="C52">
        <v>875899</v>
      </c>
      <c r="D52">
        <v>80.98</v>
      </c>
      <c r="E52">
        <v>3.4</v>
      </c>
      <c r="F52">
        <v>32415.132000000001</v>
      </c>
    </row>
    <row r="53" spans="1:6" x14ac:dyDescent="0.2">
      <c r="A53" t="s">
        <v>131</v>
      </c>
      <c r="B53" t="s">
        <v>77</v>
      </c>
      <c r="C53">
        <v>10708982</v>
      </c>
      <c r="D53">
        <v>79.38</v>
      </c>
      <c r="E53">
        <v>6.63</v>
      </c>
      <c r="F53">
        <v>32605.905999999999</v>
      </c>
    </row>
    <row r="54" spans="1:6" x14ac:dyDescent="0.2">
      <c r="A54" t="s">
        <v>132</v>
      </c>
      <c r="B54" t="s">
        <v>79</v>
      </c>
      <c r="C54">
        <v>89561404</v>
      </c>
      <c r="D54">
        <v>60.68</v>
      </c>
      <c r="F54">
        <v>808.13300000000004</v>
      </c>
    </row>
    <row r="55" spans="1:6" x14ac:dyDescent="0.2">
      <c r="A55" t="s">
        <v>133</v>
      </c>
      <c r="B55" t="s">
        <v>77</v>
      </c>
      <c r="C55">
        <v>5792203</v>
      </c>
      <c r="D55">
        <v>80.900000000000006</v>
      </c>
      <c r="E55">
        <v>2.5</v>
      </c>
      <c r="F55">
        <v>46682.514999999999</v>
      </c>
    </row>
    <row r="56" spans="1:6" x14ac:dyDescent="0.2">
      <c r="A56" t="s">
        <v>134</v>
      </c>
      <c r="B56" t="s">
        <v>79</v>
      </c>
      <c r="C56">
        <v>988002</v>
      </c>
      <c r="D56">
        <v>67.11</v>
      </c>
      <c r="E56">
        <v>1.4</v>
      </c>
      <c r="F56">
        <v>2705.4059999999999</v>
      </c>
    </row>
    <row r="57" spans="1:6" x14ac:dyDescent="0.2">
      <c r="A57" t="s">
        <v>135</v>
      </c>
      <c r="B57" t="s">
        <v>83</v>
      </c>
      <c r="C57">
        <v>71991</v>
      </c>
      <c r="D57">
        <v>75</v>
      </c>
      <c r="E57">
        <v>3.8</v>
      </c>
      <c r="F57">
        <v>9673.3670000000002</v>
      </c>
    </row>
    <row r="58" spans="1:6" x14ac:dyDescent="0.2">
      <c r="A58" t="s">
        <v>136</v>
      </c>
      <c r="B58" t="s">
        <v>83</v>
      </c>
      <c r="C58">
        <v>10847904</v>
      </c>
      <c r="D58">
        <v>74.08</v>
      </c>
      <c r="E58">
        <v>1.6</v>
      </c>
      <c r="F58">
        <v>14600.861000000001</v>
      </c>
    </row>
    <row r="59" spans="1:6" x14ac:dyDescent="0.2">
      <c r="A59" t="s">
        <v>137</v>
      </c>
      <c r="B59" t="s">
        <v>86</v>
      </c>
      <c r="C59">
        <v>17643060</v>
      </c>
      <c r="D59">
        <v>77.010000000000005</v>
      </c>
      <c r="E59">
        <v>1.5</v>
      </c>
      <c r="F59">
        <v>10581.936</v>
      </c>
    </row>
    <row r="60" spans="1:6" x14ac:dyDescent="0.2">
      <c r="A60" t="s">
        <v>138</v>
      </c>
      <c r="B60" t="s">
        <v>79</v>
      </c>
      <c r="C60">
        <v>102334403</v>
      </c>
      <c r="D60">
        <v>71.989999999999995</v>
      </c>
      <c r="E60">
        <v>1.6</v>
      </c>
      <c r="F60">
        <v>10550.206</v>
      </c>
    </row>
    <row r="61" spans="1:6" x14ac:dyDescent="0.2">
      <c r="A61" t="s">
        <v>139</v>
      </c>
      <c r="B61" t="s">
        <v>83</v>
      </c>
      <c r="C61">
        <v>6486201</v>
      </c>
      <c r="D61">
        <v>73.319999999999993</v>
      </c>
      <c r="E61">
        <v>1.3</v>
      </c>
      <c r="F61">
        <v>7292.4579999999996</v>
      </c>
    </row>
    <row r="62" spans="1:6" x14ac:dyDescent="0.2">
      <c r="A62" t="s">
        <v>140</v>
      </c>
      <c r="B62" t="s">
        <v>79</v>
      </c>
      <c r="C62">
        <v>1402985</v>
      </c>
      <c r="D62">
        <v>58.74</v>
      </c>
      <c r="E62">
        <v>2.1</v>
      </c>
      <c r="F62">
        <v>22604.873</v>
      </c>
    </row>
    <row r="63" spans="1:6" x14ac:dyDescent="0.2">
      <c r="A63" t="s">
        <v>141</v>
      </c>
      <c r="B63" t="s">
        <v>79</v>
      </c>
      <c r="C63">
        <v>3546427</v>
      </c>
      <c r="D63">
        <v>66.319999999999993</v>
      </c>
      <c r="E63">
        <v>0.7</v>
      </c>
      <c r="F63">
        <v>1510.4589999999901</v>
      </c>
    </row>
    <row r="64" spans="1:6" x14ac:dyDescent="0.2">
      <c r="A64" t="s">
        <v>142</v>
      </c>
      <c r="B64" t="s">
        <v>77</v>
      </c>
      <c r="C64">
        <v>1326539</v>
      </c>
      <c r="D64">
        <v>78.739999999999995</v>
      </c>
      <c r="E64">
        <v>4.6900000000000004</v>
      </c>
      <c r="F64">
        <v>29481.252</v>
      </c>
    </row>
    <row r="65" spans="1:6" x14ac:dyDescent="0.2">
      <c r="A65" t="s">
        <v>143</v>
      </c>
      <c r="B65" t="s">
        <v>79</v>
      </c>
      <c r="C65">
        <v>114963583</v>
      </c>
      <c r="D65">
        <v>66.599999999999994</v>
      </c>
      <c r="E65">
        <v>0.3</v>
      </c>
      <c r="F65">
        <v>1729.9269999999999</v>
      </c>
    </row>
    <row r="66" spans="1:6" x14ac:dyDescent="0.2">
      <c r="A66" t="s">
        <v>144</v>
      </c>
      <c r="B66" t="s">
        <v>77</v>
      </c>
      <c r="C66">
        <v>48865</v>
      </c>
      <c r="D66">
        <v>80.67</v>
      </c>
    </row>
    <row r="67" spans="1:6" x14ac:dyDescent="0.2">
      <c r="A67" t="s">
        <v>145</v>
      </c>
      <c r="B67" t="s">
        <v>86</v>
      </c>
      <c r="C67">
        <v>3483</v>
      </c>
      <c r="D67">
        <v>81.44</v>
      </c>
    </row>
    <row r="68" spans="1:6" x14ac:dyDescent="0.2">
      <c r="A68" t="s">
        <v>146</v>
      </c>
      <c r="B68" t="s">
        <v>90</v>
      </c>
      <c r="C68">
        <v>896444</v>
      </c>
      <c r="D68">
        <v>67.44</v>
      </c>
      <c r="E68">
        <v>2.2999999999999998</v>
      </c>
      <c r="F68">
        <v>8702.9750000000004</v>
      </c>
    </row>
    <row r="69" spans="1:6" x14ac:dyDescent="0.2">
      <c r="A69" t="s">
        <v>147</v>
      </c>
      <c r="B69" t="s">
        <v>77</v>
      </c>
      <c r="C69">
        <v>5540718</v>
      </c>
      <c r="D69">
        <v>81.91</v>
      </c>
      <c r="E69">
        <v>3.28</v>
      </c>
      <c r="F69">
        <v>40585.720999999998</v>
      </c>
    </row>
    <row r="70" spans="1:6" x14ac:dyDescent="0.2">
      <c r="A70" t="s">
        <v>148</v>
      </c>
      <c r="B70" t="s">
        <v>77</v>
      </c>
      <c r="C70">
        <v>65273512</v>
      </c>
      <c r="D70">
        <v>82.66</v>
      </c>
      <c r="E70">
        <v>5.98</v>
      </c>
      <c r="F70">
        <v>38605.671000000002</v>
      </c>
    </row>
    <row r="71" spans="1:6" x14ac:dyDescent="0.2">
      <c r="A71" t="s">
        <v>149</v>
      </c>
      <c r="B71" t="s">
        <v>90</v>
      </c>
      <c r="C71">
        <v>280904</v>
      </c>
      <c r="D71">
        <v>77.66</v>
      </c>
    </row>
    <row r="72" spans="1:6" x14ac:dyDescent="0.2">
      <c r="A72" t="s">
        <v>150</v>
      </c>
      <c r="B72" t="s">
        <v>79</v>
      </c>
      <c r="C72">
        <v>2225728</v>
      </c>
      <c r="D72">
        <v>66.47</v>
      </c>
      <c r="E72">
        <v>6.3</v>
      </c>
      <c r="F72">
        <v>16562.413</v>
      </c>
    </row>
    <row r="73" spans="1:6" x14ac:dyDescent="0.2">
      <c r="A73" t="s">
        <v>151</v>
      </c>
      <c r="B73" t="s">
        <v>79</v>
      </c>
      <c r="C73">
        <v>2416664</v>
      </c>
      <c r="D73">
        <v>62.05</v>
      </c>
      <c r="E73">
        <v>1.1000000000000001</v>
      </c>
      <c r="F73">
        <v>1561.7670000000001</v>
      </c>
    </row>
    <row r="74" spans="1:6" x14ac:dyDescent="0.2">
      <c r="A74" t="s">
        <v>152</v>
      </c>
      <c r="B74" t="s">
        <v>75</v>
      </c>
      <c r="C74">
        <v>3989175</v>
      </c>
      <c r="D74">
        <v>73.77</v>
      </c>
      <c r="E74">
        <v>2.6</v>
      </c>
      <c r="F74">
        <v>9745.0789999999997</v>
      </c>
    </row>
    <row r="75" spans="1:6" x14ac:dyDescent="0.2">
      <c r="A75" t="s">
        <v>153</v>
      </c>
      <c r="B75" t="s">
        <v>77</v>
      </c>
      <c r="C75">
        <v>83783945</v>
      </c>
      <c r="D75">
        <v>81.33</v>
      </c>
      <c r="E75">
        <v>8</v>
      </c>
      <c r="F75">
        <v>45229.245000000003</v>
      </c>
    </row>
    <row r="76" spans="1:6" x14ac:dyDescent="0.2">
      <c r="A76" t="s">
        <v>154</v>
      </c>
      <c r="B76" t="s">
        <v>79</v>
      </c>
      <c r="C76">
        <v>31072945</v>
      </c>
      <c r="D76">
        <v>64.069999999999993</v>
      </c>
      <c r="E76">
        <v>0.9</v>
      </c>
      <c r="F76">
        <v>4227.63</v>
      </c>
    </row>
    <row r="77" spans="1:6" x14ac:dyDescent="0.2">
      <c r="A77" t="s">
        <v>155</v>
      </c>
      <c r="B77" t="s">
        <v>77</v>
      </c>
      <c r="C77">
        <v>33691</v>
      </c>
      <c r="D77">
        <v>79.930000000000007</v>
      </c>
    </row>
    <row r="78" spans="1:6" x14ac:dyDescent="0.2">
      <c r="A78" t="s">
        <v>156</v>
      </c>
      <c r="B78" t="s">
        <v>77</v>
      </c>
      <c r="C78">
        <v>10423056</v>
      </c>
      <c r="D78">
        <v>82.24</v>
      </c>
      <c r="E78">
        <v>4.21</v>
      </c>
      <c r="F78">
        <v>24574.382000000001</v>
      </c>
    </row>
    <row r="79" spans="1:6" x14ac:dyDescent="0.2">
      <c r="A79" t="s">
        <v>157</v>
      </c>
      <c r="B79" t="s">
        <v>83</v>
      </c>
      <c r="C79">
        <v>56772</v>
      </c>
      <c r="D79">
        <v>71.7</v>
      </c>
    </row>
    <row r="80" spans="1:6" x14ac:dyDescent="0.2">
      <c r="A80" t="s">
        <v>158</v>
      </c>
      <c r="B80" t="s">
        <v>83</v>
      </c>
      <c r="C80">
        <v>112519</v>
      </c>
      <c r="D80">
        <v>72.400000000000006</v>
      </c>
      <c r="E80">
        <v>3.7</v>
      </c>
      <c r="F80">
        <v>13593.877</v>
      </c>
    </row>
    <row r="81" spans="1:6" x14ac:dyDescent="0.2">
      <c r="A81" t="s">
        <v>159</v>
      </c>
      <c r="B81" t="s">
        <v>90</v>
      </c>
      <c r="C81">
        <v>168783</v>
      </c>
      <c r="D81">
        <v>80.069999999999993</v>
      </c>
    </row>
    <row r="82" spans="1:6" x14ac:dyDescent="0.2">
      <c r="A82" t="s">
        <v>160</v>
      </c>
      <c r="B82" t="s">
        <v>83</v>
      </c>
      <c r="C82">
        <v>17915567</v>
      </c>
      <c r="D82">
        <v>74.3</v>
      </c>
      <c r="E82">
        <v>0.6</v>
      </c>
      <c r="F82">
        <v>7423.808</v>
      </c>
    </row>
    <row r="83" spans="1:6" x14ac:dyDescent="0.2">
      <c r="A83" t="s">
        <v>161</v>
      </c>
      <c r="B83" t="s">
        <v>77</v>
      </c>
      <c r="C83">
        <v>67052</v>
      </c>
    </row>
    <row r="84" spans="1:6" x14ac:dyDescent="0.2">
      <c r="A84" t="s">
        <v>162</v>
      </c>
      <c r="B84" t="s">
        <v>79</v>
      </c>
      <c r="C84">
        <v>13132792</v>
      </c>
      <c r="D84">
        <v>61.6</v>
      </c>
      <c r="E84">
        <v>0.3</v>
      </c>
      <c r="F84">
        <v>1998.9259999999999</v>
      </c>
    </row>
    <row r="85" spans="1:6" x14ac:dyDescent="0.2">
      <c r="A85" t="s">
        <v>163</v>
      </c>
      <c r="B85" t="s">
        <v>79</v>
      </c>
      <c r="C85">
        <v>1967998</v>
      </c>
      <c r="D85">
        <v>58.32</v>
      </c>
      <c r="F85">
        <v>1548.675</v>
      </c>
    </row>
    <row r="86" spans="1:6" x14ac:dyDescent="0.2">
      <c r="A86" t="s">
        <v>164</v>
      </c>
      <c r="B86" t="s">
        <v>86</v>
      </c>
      <c r="C86">
        <v>786559</v>
      </c>
      <c r="D86">
        <v>69.91</v>
      </c>
      <c r="E86">
        <v>1.6</v>
      </c>
      <c r="F86">
        <v>7435.0469999999996</v>
      </c>
    </row>
    <row r="87" spans="1:6" x14ac:dyDescent="0.2">
      <c r="A87" t="s">
        <v>165</v>
      </c>
      <c r="B87" t="s">
        <v>83</v>
      </c>
      <c r="C87">
        <v>11402533</v>
      </c>
      <c r="D87">
        <v>64</v>
      </c>
      <c r="E87">
        <v>0.7</v>
      </c>
      <c r="F87">
        <v>1653.17299999999</v>
      </c>
    </row>
    <row r="88" spans="1:6" x14ac:dyDescent="0.2">
      <c r="A88" t="s">
        <v>166</v>
      </c>
      <c r="B88" t="s">
        <v>83</v>
      </c>
      <c r="C88">
        <v>9904608</v>
      </c>
      <c r="D88">
        <v>75.27</v>
      </c>
      <c r="E88">
        <v>0.7</v>
      </c>
      <c r="F88">
        <v>4541.7950000000001</v>
      </c>
    </row>
    <row r="89" spans="1:6" x14ac:dyDescent="0.2">
      <c r="A89" t="s">
        <v>167</v>
      </c>
      <c r="B89" t="s">
        <v>75</v>
      </c>
      <c r="C89">
        <v>7496988</v>
      </c>
      <c r="D89">
        <v>84.86</v>
      </c>
      <c r="F89">
        <v>56054.92</v>
      </c>
    </row>
    <row r="90" spans="1:6" x14ac:dyDescent="0.2">
      <c r="A90" t="s">
        <v>168</v>
      </c>
      <c r="B90" t="s">
        <v>77</v>
      </c>
      <c r="C90">
        <v>9660350</v>
      </c>
      <c r="D90">
        <v>76.88</v>
      </c>
      <c r="E90">
        <v>7.02</v>
      </c>
      <c r="F90">
        <v>26777.561000000002</v>
      </c>
    </row>
    <row r="91" spans="1:6" x14ac:dyDescent="0.2">
      <c r="A91" t="s">
        <v>169</v>
      </c>
      <c r="B91" t="s">
        <v>77</v>
      </c>
      <c r="C91">
        <v>341250</v>
      </c>
      <c r="D91">
        <v>82.99</v>
      </c>
      <c r="E91">
        <v>2.91</v>
      </c>
      <c r="F91">
        <v>46482.957999999999</v>
      </c>
    </row>
    <row r="92" spans="1:6" x14ac:dyDescent="0.2">
      <c r="A92" t="s">
        <v>170</v>
      </c>
      <c r="B92" t="s">
        <v>75</v>
      </c>
      <c r="C92">
        <v>1380004385</v>
      </c>
      <c r="D92">
        <v>69.66</v>
      </c>
      <c r="E92">
        <v>0.53</v>
      </c>
      <c r="F92">
        <v>6426.674</v>
      </c>
    </row>
    <row r="93" spans="1:6" x14ac:dyDescent="0.2">
      <c r="A93" t="s">
        <v>171</v>
      </c>
      <c r="B93" t="s">
        <v>75</v>
      </c>
      <c r="C93">
        <v>273523621</v>
      </c>
      <c r="D93">
        <v>71.72</v>
      </c>
      <c r="E93">
        <v>1.04</v>
      </c>
      <c r="F93">
        <v>11188.743999999901</v>
      </c>
    </row>
    <row r="94" spans="1:6" x14ac:dyDescent="0.2">
      <c r="A94" t="s">
        <v>172</v>
      </c>
      <c r="B94" t="s">
        <v>75</v>
      </c>
      <c r="C94">
        <v>83992953</v>
      </c>
      <c r="D94">
        <v>76.680000000000007</v>
      </c>
      <c r="E94">
        <v>1.5</v>
      </c>
      <c r="F94">
        <v>19082.62</v>
      </c>
    </row>
    <row r="95" spans="1:6" x14ac:dyDescent="0.2">
      <c r="A95" t="s">
        <v>173</v>
      </c>
      <c r="B95" t="s">
        <v>75</v>
      </c>
      <c r="C95">
        <v>40222503</v>
      </c>
      <c r="D95">
        <v>70.599999999999994</v>
      </c>
      <c r="E95">
        <v>1.4</v>
      </c>
      <c r="F95">
        <v>15663.986000000001</v>
      </c>
    </row>
    <row r="96" spans="1:6" x14ac:dyDescent="0.2">
      <c r="A96" t="s">
        <v>174</v>
      </c>
      <c r="B96" t="s">
        <v>77</v>
      </c>
      <c r="C96">
        <v>4937796</v>
      </c>
      <c r="D96">
        <v>82.3</v>
      </c>
      <c r="E96">
        <v>2.96</v>
      </c>
      <c r="F96">
        <v>67335.293000000005</v>
      </c>
    </row>
    <row r="97" spans="1:6" x14ac:dyDescent="0.2">
      <c r="A97" t="s">
        <v>175</v>
      </c>
      <c r="B97" t="s">
        <v>77</v>
      </c>
      <c r="C97">
        <v>85032</v>
      </c>
      <c r="D97">
        <v>81.400000000000006</v>
      </c>
    </row>
    <row r="98" spans="1:6" x14ac:dyDescent="0.2">
      <c r="A98" t="s">
        <v>176</v>
      </c>
      <c r="B98" t="s">
        <v>75</v>
      </c>
      <c r="C98">
        <v>8655541</v>
      </c>
      <c r="D98">
        <v>82.97</v>
      </c>
      <c r="E98">
        <v>2.99</v>
      </c>
      <c r="F98">
        <v>33132.32</v>
      </c>
    </row>
    <row r="99" spans="1:6" x14ac:dyDescent="0.2">
      <c r="A99" t="s">
        <v>177</v>
      </c>
      <c r="B99" t="s">
        <v>77</v>
      </c>
      <c r="C99">
        <v>60461828</v>
      </c>
      <c r="D99">
        <v>83.51</v>
      </c>
      <c r="E99">
        <v>3.18</v>
      </c>
      <c r="F99">
        <v>35220.084000000003</v>
      </c>
    </row>
    <row r="100" spans="1:6" x14ac:dyDescent="0.2">
      <c r="A100" t="s">
        <v>178</v>
      </c>
      <c r="B100" t="s">
        <v>83</v>
      </c>
      <c r="C100">
        <v>2961161</v>
      </c>
      <c r="D100">
        <v>74.47</v>
      </c>
      <c r="E100">
        <v>1.7</v>
      </c>
      <c r="F100">
        <v>8193.5709999999999</v>
      </c>
    </row>
    <row r="101" spans="1:6" x14ac:dyDescent="0.2">
      <c r="A101" t="s">
        <v>179</v>
      </c>
      <c r="B101" t="s">
        <v>75</v>
      </c>
      <c r="C101">
        <v>126476458</v>
      </c>
      <c r="D101">
        <v>84.63</v>
      </c>
      <c r="E101">
        <v>13.05</v>
      </c>
      <c r="F101">
        <v>39002.222999999998</v>
      </c>
    </row>
    <row r="102" spans="1:6" x14ac:dyDescent="0.2">
      <c r="A102" t="s">
        <v>180</v>
      </c>
      <c r="B102" t="s">
        <v>77</v>
      </c>
      <c r="C102">
        <v>101073</v>
      </c>
    </row>
    <row r="103" spans="1:6" x14ac:dyDescent="0.2">
      <c r="A103" t="s">
        <v>181</v>
      </c>
      <c r="B103" t="s">
        <v>75</v>
      </c>
      <c r="C103">
        <v>10203140</v>
      </c>
      <c r="D103">
        <v>74.53</v>
      </c>
      <c r="E103">
        <v>1.4</v>
      </c>
      <c r="F103">
        <v>8337.49</v>
      </c>
    </row>
    <row r="104" spans="1:6" x14ac:dyDescent="0.2">
      <c r="A104" t="s">
        <v>182</v>
      </c>
      <c r="B104" t="s">
        <v>75</v>
      </c>
      <c r="C104">
        <v>18776707</v>
      </c>
      <c r="D104">
        <v>73.599999999999994</v>
      </c>
      <c r="E104">
        <v>6.7</v>
      </c>
      <c r="F104">
        <v>24055.588</v>
      </c>
    </row>
    <row r="105" spans="1:6" x14ac:dyDescent="0.2">
      <c r="A105" t="s">
        <v>183</v>
      </c>
      <c r="B105" t="s">
        <v>79</v>
      </c>
      <c r="C105">
        <v>53771300</v>
      </c>
      <c r="D105">
        <v>66.7</v>
      </c>
      <c r="E105">
        <v>1.4</v>
      </c>
      <c r="F105">
        <v>2993.0279999999998</v>
      </c>
    </row>
    <row r="106" spans="1:6" x14ac:dyDescent="0.2">
      <c r="A106" t="s">
        <v>184</v>
      </c>
      <c r="B106" t="s">
        <v>77</v>
      </c>
      <c r="C106">
        <v>1932774</v>
      </c>
      <c r="F106">
        <v>9795.8340000000007</v>
      </c>
    </row>
    <row r="107" spans="1:6" x14ac:dyDescent="0.2">
      <c r="A107" t="s">
        <v>185</v>
      </c>
      <c r="B107" t="s">
        <v>75</v>
      </c>
      <c r="C107">
        <v>4270563</v>
      </c>
      <c r="D107">
        <v>75.489999999999995</v>
      </c>
      <c r="E107">
        <v>2</v>
      </c>
      <c r="F107">
        <v>65530.536999999997</v>
      </c>
    </row>
    <row r="108" spans="1:6" x14ac:dyDescent="0.2">
      <c r="A108" t="s">
        <v>186</v>
      </c>
      <c r="B108" t="s">
        <v>75</v>
      </c>
      <c r="C108">
        <v>6524191</v>
      </c>
      <c r="D108">
        <v>71.45</v>
      </c>
      <c r="E108">
        <v>4.5</v>
      </c>
      <c r="F108">
        <v>3393.4740000000002</v>
      </c>
    </row>
    <row r="109" spans="1:6" x14ac:dyDescent="0.2">
      <c r="A109" t="s">
        <v>187</v>
      </c>
      <c r="B109" t="s">
        <v>75</v>
      </c>
      <c r="C109">
        <v>7275556</v>
      </c>
      <c r="D109">
        <v>67.92</v>
      </c>
      <c r="E109">
        <v>1.5</v>
      </c>
      <c r="F109">
        <v>6397.36</v>
      </c>
    </row>
    <row r="110" spans="1:6" x14ac:dyDescent="0.2">
      <c r="A110" t="s">
        <v>188</v>
      </c>
      <c r="B110" t="s">
        <v>77</v>
      </c>
      <c r="C110">
        <v>1886202</v>
      </c>
      <c r="D110">
        <v>75.290000000000006</v>
      </c>
      <c r="E110">
        <v>5.57</v>
      </c>
      <c r="F110">
        <v>25063.846000000001</v>
      </c>
    </row>
    <row r="111" spans="1:6" x14ac:dyDescent="0.2">
      <c r="A111" t="s">
        <v>189</v>
      </c>
      <c r="B111" t="s">
        <v>75</v>
      </c>
      <c r="C111">
        <v>6825442</v>
      </c>
      <c r="D111">
        <v>78.930000000000007</v>
      </c>
      <c r="E111">
        <v>2.9</v>
      </c>
      <c r="F111">
        <v>13367.565000000001</v>
      </c>
    </row>
    <row r="112" spans="1:6" x14ac:dyDescent="0.2">
      <c r="A112" t="s">
        <v>190</v>
      </c>
      <c r="B112" t="s">
        <v>79</v>
      </c>
      <c r="C112">
        <v>2142252</v>
      </c>
      <c r="D112">
        <v>54.33</v>
      </c>
      <c r="F112">
        <v>2851.1529999999998</v>
      </c>
    </row>
    <row r="113" spans="1:6" x14ac:dyDescent="0.2">
      <c r="A113" t="s">
        <v>191</v>
      </c>
      <c r="B113" t="s">
        <v>79</v>
      </c>
      <c r="C113">
        <v>5057677</v>
      </c>
      <c r="D113">
        <v>64.099999999999994</v>
      </c>
      <c r="E113">
        <v>0.8</v>
      </c>
      <c r="F113">
        <v>752.78800000000001</v>
      </c>
    </row>
    <row r="114" spans="1:6" x14ac:dyDescent="0.2">
      <c r="A114" t="s">
        <v>192</v>
      </c>
      <c r="B114" t="s">
        <v>79</v>
      </c>
      <c r="C114">
        <v>6871287</v>
      </c>
      <c r="D114">
        <v>72.91</v>
      </c>
      <c r="E114">
        <v>3.7</v>
      </c>
      <c r="F114">
        <v>17881.508999999998</v>
      </c>
    </row>
    <row r="115" spans="1:6" x14ac:dyDescent="0.2">
      <c r="A115" t="s">
        <v>193</v>
      </c>
      <c r="B115" t="s">
        <v>77</v>
      </c>
      <c r="C115">
        <v>38137</v>
      </c>
      <c r="D115">
        <v>82.49</v>
      </c>
      <c r="E115">
        <v>2.3969999999999998</v>
      </c>
    </row>
    <row r="116" spans="1:6" x14ac:dyDescent="0.2">
      <c r="A116" t="s">
        <v>194</v>
      </c>
      <c r="B116" t="s">
        <v>77</v>
      </c>
      <c r="C116">
        <v>2722291</v>
      </c>
      <c r="D116">
        <v>75.930000000000007</v>
      </c>
      <c r="E116">
        <v>6.56</v>
      </c>
      <c r="F116">
        <v>29524.264999999999</v>
      </c>
    </row>
    <row r="117" spans="1:6" x14ac:dyDescent="0.2">
      <c r="A117" t="s">
        <v>195</v>
      </c>
      <c r="B117" t="s">
        <v>77</v>
      </c>
      <c r="C117">
        <v>625976</v>
      </c>
      <c r="D117">
        <v>82.25</v>
      </c>
      <c r="E117">
        <v>4.51</v>
      </c>
      <c r="F117">
        <v>94277.964999999997</v>
      </c>
    </row>
    <row r="118" spans="1:6" x14ac:dyDescent="0.2">
      <c r="A118" t="s">
        <v>196</v>
      </c>
      <c r="B118" t="s">
        <v>77</v>
      </c>
      <c r="C118">
        <v>2083380</v>
      </c>
      <c r="D118">
        <v>75.8</v>
      </c>
      <c r="E118">
        <v>4.28</v>
      </c>
      <c r="F118">
        <v>13111.214</v>
      </c>
    </row>
    <row r="119" spans="1:6" x14ac:dyDescent="0.2">
      <c r="A119" t="s">
        <v>197</v>
      </c>
      <c r="B119" t="s">
        <v>79</v>
      </c>
      <c r="C119">
        <v>27691019</v>
      </c>
      <c r="D119">
        <v>67.040000000000006</v>
      </c>
      <c r="E119">
        <v>0.2</v>
      </c>
      <c r="F119">
        <v>1416.44</v>
      </c>
    </row>
    <row r="120" spans="1:6" x14ac:dyDescent="0.2">
      <c r="A120" t="s">
        <v>198</v>
      </c>
      <c r="B120" t="s">
        <v>79</v>
      </c>
      <c r="C120">
        <v>19129955</v>
      </c>
      <c r="D120">
        <v>64.260000000000005</v>
      </c>
      <c r="E120">
        <v>1.3</v>
      </c>
      <c r="F120">
        <v>1095.0419999999999</v>
      </c>
    </row>
    <row r="121" spans="1:6" x14ac:dyDescent="0.2">
      <c r="A121" t="s">
        <v>199</v>
      </c>
      <c r="B121" t="s">
        <v>75</v>
      </c>
      <c r="C121">
        <v>32365998</v>
      </c>
      <c r="D121">
        <v>76.16</v>
      </c>
      <c r="E121">
        <v>1.9</v>
      </c>
      <c r="F121">
        <v>26808.164000000001</v>
      </c>
    </row>
    <row r="122" spans="1:6" x14ac:dyDescent="0.2">
      <c r="A122" t="s">
        <v>200</v>
      </c>
      <c r="B122" t="s">
        <v>75</v>
      </c>
      <c r="C122">
        <v>540542</v>
      </c>
      <c r="D122">
        <v>78.92</v>
      </c>
      <c r="F122">
        <v>15183.616</v>
      </c>
    </row>
    <row r="123" spans="1:6" x14ac:dyDescent="0.2">
      <c r="A123" t="s">
        <v>201</v>
      </c>
      <c r="B123" t="s">
        <v>79</v>
      </c>
      <c r="C123">
        <v>20250834</v>
      </c>
      <c r="D123">
        <v>59.31</v>
      </c>
      <c r="E123">
        <v>0.1</v>
      </c>
      <c r="F123">
        <v>2014.306</v>
      </c>
    </row>
    <row r="124" spans="1:6" x14ac:dyDescent="0.2">
      <c r="A124" t="s">
        <v>202</v>
      </c>
      <c r="B124" t="s">
        <v>77</v>
      </c>
      <c r="C124">
        <v>441539</v>
      </c>
      <c r="D124">
        <v>82.53</v>
      </c>
      <c r="E124">
        <v>4.4850000000000003</v>
      </c>
      <c r="F124">
        <v>36513.322999999997</v>
      </c>
    </row>
    <row r="125" spans="1:6" x14ac:dyDescent="0.2">
      <c r="A125" t="s">
        <v>203</v>
      </c>
      <c r="B125" t="s">
        <v>79</v>
      </c>
      <c r="C125">
        <v>4649660</v>
      </c>
      <c r="D125">
        <v>64.92</v>
      </c>
      <c r="F125">
        <v>3597.6329999999998</v>
      </c>
    </row>
    <row r="126" spans="1:6" x14ac:dyDescent="0.2">
      <c r="A126" t="s">
        <v>204</v>
      </c>
      <c r="B126" t="s">
        <v>79</v>
      </c>
      <c r="C126">
        <v>1271767</v>
      </c>
      <c r="D126">
        <v>74.989999999999995</v>
      </c>
      <c r="E126">
        <v>3.4</v>
      </c>
      <c r="F126">
        <v>20292.744999999999</v>
      </c>
    </row>
    <row r="127" spans="1:6" x14ac:dyDescent="0.2">
      <c r="A127" t="s">
        <v>205</v>
      </c>
      <c r="B127" t="s">
        <v>83</v>
      </c>
      <c r="C127">
        <v>128932753</v>
      </c>
      <c r="D127">
        <v>75.05</v>
      </c>
      <c r="E127">
        <v>1.38</v>
      </c>
      <c r="F127">
        <v>17336.468999999899</v>
      </c>
    </row>
    <row r="128" spans="1:6" x14ac:dyDescent="0.2">
      <c r="A128" t="s">
        <v>206</v>
      </c>
      <c r="B128" t="s">
        <v>77</v>
      </c>
      <c r="C128">
        <v>4033963</v>
      </c>
      <c r="D128">
        <v>71.900000000000006</v>
      </c>
      <c r="E128">
        <v>5.8</v>
      </c>
      <c r="F128">
        <v>5189.9719999999998</v>
      </c>
    </row>
    <row r="129" spans="1:6" x14ac:dyDescent="0.2">
      <c r="A129" t="s">
        <v>207</v>
      </c>
      <c r="B129" t="s">
        <v>77</v>
      </c>
      <c r="C129">
        <v>39244</v>
      </c>
      <c r="D129">
        <v>86.75</v>
      </c>
      <c r="E129">
        <v>13.8</v>
      </c>
    </row>
    <row r="130" spans="1:6" x14ac:dyDescent="0.2">
      <c r="A130" t="s">
        <v>208</v>
      </c>
      <c r="B130" t="s">
        <v>75</v>
      </c>
      <c r="C130">
        <v>3278292</v>
      </c>
      <c r="D130">
        <v>69.87</v>
      </c>
      <c r="E130">
        <v>7</v>
      </c>
      <c r="F130">
        <v>11840.846</v>
      </c>
    </row>
    <row r="131" spans="1:6" x14ac:dyDescent="0.2">
      <c r="A131" t="s">
        <v>209</v>
      </c>
      <c r="B131" t="s">
        <v>77</v>
      </c>
      <c r="C131">
        <v>628062</v>
      </c>
      <c r="D131">
        <v>76.88</v>
      </c>
      <c r="E131">
        <v>3.8610000000000002</v>
      </c>
      <c r="F131">
        <v>16409.288</v>
      </c>
    </row>
    <row r="132" spans="1:6" x14ac:dyDescent="0.2">
      <c r="A132" t="s">
        <v>210</v>
      </c>
      <c r="B132" t="s">
        <v>83</v>
      </c>
      <c r="C132">
        <v>4999</v>
      </c>
      <c r="D132">
        <v>74.16</v>
      </c>
    </row>
    <row r="133" spans="1:6" x14ac:dyDescent="0.2">
      <c r="A133" t="s">
        <v>211</v>
      </c>
      <c r="B133" t="s">
        <v>79</v>
      </c>
      <c r="C133">
        <v>36910558</v>
      </c>
      <c r="D133">
        <v>76.680000000000007</v>
      </c>
      <c r="E133">
        <v>1.1000000000000001</v>
      </c>
      <c r="F133">
        <v>7485.0129999999999</v>
      </c>
    </row>
    <row r="134" spans="1:6" x14ac:dyDescent="0.2">
      <c r="A134" t="s">
        <v>212</v>
      </c>
      <c r="B134" t="s">
        <v>79</v>
      </c>
      <c r="C134">
        <v>31255435</v>
      </c>
      <c r="D134">
        <v>60.85</v>
      </c>
      <c r="E134">
        <v>0.7</v>
      </c>
      <c r="F134">
        <v>1136.1030000000001</v>
      </c>
    </row>
    <row r="135" spans="1:6" x14ac:dyDescent="0.2">
      <c r="A135" t="s">
        <v>213</v>
      </c>
      <c r="B135" t="s">
        <v>75</v>
      </c>
      <c r="C135">
        <v>54409794</v>
      </c>
      <c r="D135">
        <v>67.13</v>
      </c>
      <c r="E135">
        <v>0.9</v>
      </c>
      <c r="F135">
        <v>5591.5969999999998</v>
      </c>
    </row>
    <row r="136" spans="1:6" x14ac:dyDescent="0.2">
      <c r="A136" t="s">
        <v>214</v>
      </c>
      <c r="B136" t="s">
        <v>79</v>
      </c>
      <c r="C136">
        <v>2540916</v>
      </c>
      <c r="D136">
        <v>63.71</v>
      </c>
      <c r="F136">
        <v>9541.8080000000009</v>
      </c>
    </row>
    <row r="137" spans="1:6" x14ac:dyDescent="0.2">
      <c r="A137" t="s">
        <v>215</v>
      </c>
      <c r="B137" t="s">
        <v>75</v>
      </c>
      <c r="C137">
        <v>29136808</v>
      </c>
      <c r="D137">
        <v>70.78</v>
      </c>
      <c r="E137">
        <v>0.3</v>
      </c>
      <c r="F137">
        <v>2442.8040000000001</v>
      </c>
    </row>
    <row r="138" spans="1:6" x14ac:dyDescent="0.2">
      <c r="A138" t="s">
        <v>216</v>
      </c>
      <c r="B138" t="s">
        <v>77</v>
      </c>
      <c r="C138">
        <v>17134873</v>
      </c>
      <c r="D138">
        <v>82.28</v>
      </c>
      <c r="E138">
        <v>3.32</v>
      </c>
      <c r="F138">
        <v>48472.544999999998</v>
      </c>
    </row>
    <row r="139" spans="1:6" x14ac:dyDescent="0.2">
      <c r="A139" t="s">
        <v>217</v>
      </c>
      <c r="B139" t="s">
        <v>90</v>
      </c>
      <c r="C139">
        <v>285491</v>
      </c>
      <c r="D139">
        <v>77.55</v>
      </c>
    </row>
    <row r="140" spans="1:6" x14ac:dyDescent="0.2">
      <c r="A140" t="s">
        <v>218</v>
      </c>
      <c r="B140" t="s">
        <v>90</v>
      </c>
      <c r="C140">
        <v>4822233</v>
      </c>
      <c r="D140">
        <v>82.29</v>
      </c>
      <c r="E140">
        <v>2.61</v>
      </c>
      <c r="F140">
        <v>36085.843000000001</v>
      </c>
    </row>
    <row r="141" spans="1:6" x14ac:dyDescent="0.2">
      <c r="A141" t="s">
        <v>219</v>
      </c>
      <c r="B141" t="s">
        <v>83</v>
      </c>
      <c r="C141">
        <v>6624554</v>
      </c>
      <c r="D141">
        <v>74.48</v>
      </c>
      <c r="E141">
        <v>0.9</v>
      </c>
      <c r="F141">
        <v>5321.4440000000004</v>
      </c>
    </row>
    <row r="142" spans="1:6" x14ac:dyDescent="0.2">
      <c r="A142" t="s">
        <v>220</v>
      </c>
      <c r="B142" t="s">
        <v>79</v>
      </c>
      <c r="C142">
        <v>24206636</v>
      </c>
      <c r="D142">
        <v>62.42</v>
      </c>
      <c r="E142">
        <v>0.3</v>
      </c>
      <c r="F142">
        <v>926</v>
      </c>
    </row>
    <row r="143" spans="1:6" x14ac:dyDescent="0.2">
      <c r="A143" t="s">
        <v>221</v>
      </c>
      <c r="B143" t="s">
        <v>79</v>
      </c>
      <c r="C143">
        <v>206139587</v>
      </c>
      <c r="D143">
        <v>54.69</v>
      </c>
      <c r="F143">
        <v>5338.4539999999997</v>
      </c>
    </row>
    <row r="144" spans="1:6" x14ac:dyDescent="0.2">
      <c r="A144" t="s">
        <v>222</v>
      </c>
      <c r="B144" t="s">
        <v>90</v>
      </c>
      <c r="C144">
        <v>57557</v>
      </c>
      <c r="D144">
        <v>76.739999999999995</v>
      </c>
    </row>
    <row r="145" spans="1:6" x14ac:dyDescent="0.2">
      <c r="A145" t="s">
        <v>223</v>
      </c>
      <c r="B145" t="s">
        <v>77</v>
      </c>
      <c r="C145">
        <v>5421242</v>
      </c>
      <c r="D145">
        <v>82.4</v>
      </c>
      <c r="E145">
        <v>3.6</v>
      </c>
      <c r="F145">
        <v>64800.057000000001</v>
      </c>
    </row>
    <row r="146" spans="1:6" x14ac:dyDescent="0.2">
      <c r="A146" t="s">
        <v>224</v>
      </c>
      <c r="B146" t="s">
        <v>75</v>
      </c>
      <c r="C146">
        <v>5106622</v>
      </c>
      <c r="D146">
        <v>77.86</v>
      </c>
      <c r="E146">
        <v>1.6</v>
      </c>
      <c r="F146">
        <v>37960.709000000003</v>
      </c>
    </row>
    <row r="147" spans="1:6" x14ac:dyDescent="0.2">
      <c r="A147" t="s">
        <v>225</v>
      </c>
      <c r="B147" t="s">
        <v>75</v>
      </c>
      <c r="C147">
        <v>220892331</v>
      </c>
      <c r="D147">
        <v>67.27</v>
      </c>
      <c r="E147">
        <v>0.6</v>
      </c>
      <c r="F147">
        <v>5034.7079999999996</v>
      </c>
    </row>
    <row r="148" spans="1:6" x14ac:dyDescent="0.2">
      <c r="A148" t="s">
        <v>226</v>
      </c>
      <c r="B148" t="s">
        <v>75</v>
      </c>
      <c r="C148">
        <v>5101416</v>
      </c>
      <c r="D148">
        <v>74.05</v>
      </c>
      <c r="F148">
        <v>4449.8980000000001</v>
      </c>
    </row>
    <row r="149" spans="1:6" x14ac:dyDescent="0.2">
      <c r="A149" t="s">
        <v>227</v>
      </c>
      <c r="B149" t="s">
        <v>83</v>
      </c>
      <c r="C149">
        <v>4314768</v>
      </c>
      <c r="D149">
        <v>78.510000000000005</v>
      </c>
      <c r="E149">
        <v>2.2999999999999998</v>
      </c>
      <c r="F149">
        <v>22267.037</v>
      </c>
    </row>
    <row r="150" spans="1:6" x14ac:dyDescent="0.2">
      <c r="A150" t="s">
        <v>228</v>
      </c>
      <c r="B150" t="s">
        <v>90</v>
      </c>
      <c r="C150">
        <v>8947027</v>
      </c>
      <c r="D150">
        <v>64.5</v>
      </c>
      <c r="F150">
        <v>3823.194</v>
      </c>
    </row>
    <row r="151" spans="1:6" x14ac:dyDescent="0.2">
      <c r="A151" t="s">
        <v>229</v>
      </c>
      <c r="B151" t="s">
        <v>86</v>
      </c>
      <c r="C151">
        <v>7132530</v>
      </c>
      <c r="D151">
        <v>74.25</v>
      </c>
      <c r="E151">
        <v>1.3</v>
      </c>
      <c r="F151">
        <v>8827.01</v>
      </c>
    </row>
    <row r="152" spans="1:6" x14ac:dyDescent="0.2">
      <c r="A152" t="s">
        <v>230</v>
      </c>
      <c r="B152" t="s">
        <v>86</v>
      </c>
      <c r="C152">
        <v>32971846</v>
      </c>
      <c r="D152">
        <v>76.739999999999995</v>
      </c>
      <c r="E152">
        <v>1.6</v>
      </c>
      <c r="F152">
        <v>12236.706</v>
      </c>
    </row>
    <row r="153" spans="1:6" x14ac:dyDescent="0.2">
      <c r="A153" t="s">
        <v>231</v>
      </c>
      <c r="B153" t="s">
        <v>75</v>
      </c>
      <c r="C153">
        <v>109581085</v>
      </c>
      <c r="D153">
        <v>71.23</v>
      </c>
      <c r="E153">
        <v>1</v>
      </c>
      <c r="F153">
        <v>7599.1880000000001</v>
      </c>
    </row>
    <row r="154" spans="1:6" x14ac:dyDescent="0.2">
      <c r="A154" t="s">
        <v>232</v>
      </c>
      <c r="B154" t="s">
        <v>77</v>
      </c>
      <c r="C154">
        <v>37846605</v>
      </c>
      <c r="D154">
        <v>78.73</v>
      </c>
      <c r="E154">
        <v>6.62</v>
      </c>
      <c r="F154">
        <v>27216.445</v>
      </c>
    </row>
    <row r="155" spans="1:6" x14ac:dyDescent="0.2">
      <c r="A155" t="s">
        <v>233</v>
      </c>
      <c r="B155" t="s">
        <v>77</v>
      </c>
      <c r="C155">
        <v>10196707</v>
      </c>
      <c r="D155">
        <v>82.05</v>
      </c>
      <c r="E155">
        <v>3.39</v>
      </c>
      <c r="F155">
        <v>27936.896000000001</v>
      </c>
    </row>
    <row r="156" spans="1:6" x14ac:dyDescent="0.2">
      <c r="A156" t="s">
        <v>234</v>
      </c>
      <c r="B156" t="s">
        <v>83</v>
      </c>
      <c r="C156">
        <v>2860840</v>
      </c>
      <c r="D156">
        <v>80.099999999999994</v>
      </c>
      <c r="F156">
        <v>35044.67</v>
      </c>
    </row>
    <row r="157" spans="1:6" x14ac:dyDescent="0.2">
      <c r="A157" t="s">
        <v>235</v>
      </c>
      <c r="B157" t="s">
        <v>75</v>
      </c>
      <c r="C157">
        <v>2881060</v>
      </c>
      <c r="D157">
        <v>80.23</v>
      </c>
      <c r="E157">
        <v>1.2</v>
      </c>
      <c r="F157">
        <v>116935.6</v>
      </c>
    </row>
    <row r="158" spans="1:6" x14ac:dyDescent="0.2">
      <c r="A158" t="s">
        <v>236</v>
      </c>
      <c r="B158" t="s">
        <v>77</v>
      </c>
      <c r="C158">
        <v>19237682</v>
      </c>
      <c r="D158">
        <v>76.05</v>
      </c>
      <c r="E158">
        <v>6.8920000000000003</v>
      </c>
      <c r="F158">
        <v>23313.199000000001</v>
      </c>
    </row>
    <row r="159" spans="1:6" x14ac:dyDescent="0.2">
      <c r="A159" t="s">
        <v>237</v>
      </c>
      <c r="B159" t="s">
        <v>77</v>
      </c>
      <c r="C159">
        <v>145934460</v>
      </c>
      <c r="D159">
        <v>72.58</v>
      </c>
      <c r="E159">
        <v>8.0500000000000007</v>
      </c>
      <c r="F159">
        <v>24765.9539999999</v>
      </c>
    </row>
    <row r="160" spans="1:6" x14ac:dyDescent="0.2">
      <c r="A160" t="s">
        <v>238</v>
      </c>
      <c r="B160" t="s">
        <v>79</v>
      </c>
      <c r="C160">
        <v>12952209</v>
      </c>
      <c r="D160">
        <v>69.02</v>
      </c>
      <c r="F160">
        <v>1854.211</v>
      </c>
    </row>
    <row r="161" spans="1:6" x14ac:dyDescent="0.2">
      <c r="A161" t="s">
        <v>239</v>
      </c>
      <c r="B161" t="s">
        <v>83</v>
      </c>
      <c r="C161">
        <v>53192</v>
      </c>
      <c r="D161">
        <v>76.23</v>
      </c>
      <c r="E161">
        <v>2.2999999999999998</v>
      </c>
      <c r="F161">
        <v>24654.384999999998</v>
      </c>
    </row>
    <row r="162" spans="1:6" x14ac:dyDescent="0.2">
      <c r="A162" t="s">
        <v>240</v>
      </c>
      <c r="B162" t="s">
        <v>83</v>
      </c>
      <c r="C162">
        <v>183629</v>
      </c>
      <c r="D162">
        <v>76.2</v>
      </c>
      <c r="E162">
        <v>1.3</v>
      </c>
      <c r="F162">
        <v>12951.839</v>
      </c>
    </row>
    <row r="163" spans="1:6" x14ac:dyDescent="0.2">
      <c r="A163" t="s">
        <v>241</v>
      </c>
      <c r="B163" t="s">
        <v>83</v>
      </c>
      <c r="C163">
        <v>110947</v>
      </c>
      <c r="D163">
        <v>72.53</v>
      </c>
      <c r="E163">
        <v>2.6</v>
      </c>
      <c r="F163">
        <v>10727.146000000001</v>
      </c>
    </row>
    <row r="164" spans="1:6" x14ac:dyDescent="0.2">
      <c r="A164" t="s">
        <v>242</v>
      </c>
      <c r="B164" t="s">
        <v>77</v>
      </c>
      <c r="C164">
        <v>33938</v>
      </c>
      <c r="D164">
        <v>84.97</v>
      </c>
      <c r="E164">
        <v>3.8</v>
      </c>
      <c r="F164">
        <v>56861.47</v>
      </c>
    </row>
    <row r="165" spans="1:6" x14ac:dyDescent="0.2">
      <c r="A165" t="s">
        <v>243</v>
      </c>
      <c r="B165" t="s">
        <v>79</v>
      </c>
      <c r="C165">
        <v>219161</v>
      </c>
      <c r="D165">
        <v>70.39</v>
      </c>
      <c r="E165">
        <v>2.9</v>
      </c>
      <c r="F165">
        <v>3052.7139999999999</v>
      </c>
    </row>
    <row r="166" spans="1:6" x14ac:dyDescent="0.2">
      <c r="A166" t="s">
        <v>244</v>
      </c>
      <c r="B166" t="s">
        <v>75</v>
      </c>
      <c r="C166">
        <v>34813867</v>
      </c>
      <c r="D166">
        <v>75.13</v>
      </c>
      <c r="E166">
        <v>2.7</v>
      </c>
      <c r="F166">
        <v>49045.410999999898</v>
      </c>
    </row>
    <row r="167" spans="1:6" x14ac:dyDescent="0.2">
      <c r="A167" t="s">
        <v>245</v>
      </c>
      <c r="B167" t="s">
        <v>79</v>
      </c>
      <c r="C167">
        <v>16743930</v>
      </c>
      <c r="D167">
        <v>67.94</v>
      </c>
      <c r="F167">
        <v>2470.58</v>
      </c>
    </row>
    <row r="168" spans="1:6" x14ac:dyDescent="0.2">
      <c r="A168" t="s">
        <v>246</v>
      </c>
      <c r="B168" t="s">
        <v>77</v>
      </c>
      <c r="C168">
        <v>6804596</v>
      </c>
      <c r="D168">
        <v>76</v>
      </c>
      <c r="E168">
        <v>5.609</v>
      </c>
      <c r="F168">
        <v>14048.880999999999</v>
      </c>
    </row>
    <row r="169" spans="1:6" x14ac:dyDescent="0.2">
      <c r="A169" t="s">
        <v>247</v>
      </c>
      <c r="B169" t="s">
        <v>79</v>
      </c>
      <c r="C169">
        <v>98340</v>
      </c>
      <c r="D169">
        <v>73.400000000000006</v>
      </c>
      <c r="E169">
        <v>3.6</v>
      </c>
      <c r="F169">
        <v>26382.287</v>
      </c>
    </row>
    <row r="170" spans="1:6" x14ac:dyDescent="0.2">
      <c r="A170" t="s">
        <v>248</v>
      </c>
      <c r="B170" t="s">
        <v>79</v>
      </c>
      <c r="C170">
        <v>7976985</v>
      </c>
      <c r="D170">
        <v>54.7</v>
      </c>
      <c r="F170">
        <v>1390.3</v>
      </c>
    </row>
    <row r="171" spans="1:6" x14ac:dyDescent="0.2">
      <c r="A171" t="s">
        <v>249</v>
      </c>
      <c r="B171" t="s">
        <v>75</v>
      </c>
      <c r="C171">
        <v>5850343</v>
      </c>
      <c r="D171">
        <v>83.62</v>
      </c>
      <c r="E171">
        <v>2.4</v>
      </c>
      <c r="F171">
        <v>85535.383000000002</v>
      </c>
    </row>
    <row r="172" spans="1:6" x14ac:dyDescent="0.2">
      <c r="A172" t="s">
        <v>250</v>
      </c>
      <c r="B172" t="s">
        <v>83</v>
      </c>
      <c r="C172">
        <v>42882</v>
      </c>
      <c r="D172">
        <v>78.95</v>
      </c>
      <c r="F172">
        <v>36327.232000000004</v>
      </c>
    </row>
    <row r="173" spans="1:6" x14ac:dyDescent="0.2">
      <c r="A173" t="s">
        <v>251</v>
      </c>
      <c r="B173" t="s">
        <v>77</v>
      </c>
      <c r="C173">
        <v>5459643</v>
      </c>
      <c r="D173">
        <v>77.540000000000006</v>
      </c>
      <c r="E173">
        <v>5.82</v>
      </c>
      <c r="F173">
        <v>30155.151999999998</v>
      </c>
    </row>
    <row r="174" spans="1:6" x14ac:dyDescent="0.2">
      <c r="A174" t="s">
        <v>252</v>
      </c>
      <c r="B174" t="s">
        <v>77</v>
      </c>
      <c r="C174">
        <v>2078932</v>
      </c>
      <c r="D174">
        <v>81.319999999999993</v>
      </c>
      <c r="E174">
        <v>4.5</v>
      </c>
      <c r="F174">
        <v>31400.84</v>
      </c>
    </row>
    <row r="175" spans="1:6" x14ac:dyDescent="0.2">
      <c r="A175" t="s">
        <v>253</v>
      </c>
      <c r="B175" t="s">
        <v>79</v>
      </c>
      <c r="C175">
        <v>15893219</v>
      </c>
      <c r="D175">
        <v>57.4</v>
      </c>
      <c r="E175">
        <v>0.9</v>
      </c>
    </row>
    <row r="176" spans="1:6" x14ac:dyDescent="0.2">
      <c r="A176" t="s">
        <v>254</v>
      </c>
      <c r="B176" t="s">
        <v>79</v>
      </c>
      <c r="C176">
        <v>59308690</v>
      </c>
      <c r="D176">
        <v>64.13</v>
      </c>
      <c r="E176">
        <v>2.3199999999999998</v>
      </c>
      <c r="F176">
        <v>12294.876</v>
      </c>
    </row>
    <row r="177" spans="1:6" x14ac:dyDescent="0.2">
      <c r="A177" t="s">
        <v>255</v>
      </c>
      <c r="B177" t="s">
        <v>75</v>
      </c>
      <c r="C177">
        <v>51269183</v>
      </c>
      <c r="D177">
        <v>83.03</v>
      </c>
      <c r="E177">
        <v>12.27</v>
      </c>
      <c r="F177">
        <v>35938.373999999902</v>
      </c>
    </row>
    <row r="178" spans="1:6" x14ac:dyDescent="0.2">
      <c r="A178" t="s">
        <v>256</v>
      </c>
      <c r="B178" t="s">
        <v>79</v>
      </c>
      <c r="C178">
        <v>11193729</v>
      </c>
      <c r="D178">
        <v>57.85</v>
      </c>
      <c r="F178">
        <v>1569.8879999999999</v>
      </c>
    </row>
    <row r="179" spans="1:6" x14ac:dyDescent="0.2">
      <c r="A179" t="s">
        <v>257</v>
      </c>
      <c r="B179" t="s">
        <v>77</v>
      </c>
      <c r="C179">
        <v>46754783</v>
      </c>
      <c r="D179">
        <v>83.56</v>
      </c>
      <c r="E179">
        <v>2.97</v>
      </c>
      <c r="F179">
        <v>34272.36</v>
      </c>
    </row>
    <row r="180" spans="1:6" x14ac:dyDescent="0.2">
      <c r="A180" t="s">
        <v>258</v>
      </c>
      <c r="B180" t="s">
        <v>75</v>
      </c>
      <c r="C180">
        <v>21413250</v>
      </c>
      <c r="D180">
        <v>76.98</v>
      </c>
      <c r="E180">
        <v>3.6</v>
      </c>
      <c r="F180">
        <v>11669.076999999999</v>
      </c>
    </row>
    <row r="181" spans="1:6" x14ac:dyDescent="0.2">
      <c r="A181" t="s">
        <v>259</v>
      </c>
      <c r="B181" t="s">
        <v>79</v>
      </c>
      <c r="C181">
        <v>43849269</v>
      </c>
      <c r="D181">
        <v>65.31</v>
      </c>
      <c r="E181">
        <v>0.8</v>
      </c>
      <c r="F181">
        <v>4466.5069999999996</v>
      </c>
    </row>
    <row r="182" spans="1:6" x14ac:dyDescent="0.2">
      <c r="A182" t="s">
        <v>260</v>
      </c>
      <c r="B182" t="s">
        <v>86</v>
      </c>
      <c r="C182">
        <v>586634</v>
      </c>
      <c r="D182">
        <v>71.680000000000007</v>
      </c>
      <c r="E182">
        <v>3.1</v>
      </c>
      <c r="F182">
        <v>13767.118999999901</v>
      </c>
    </row>
    <row r="183" spans="1:6" x14ac:dyDescent="0.2">
      <c r="A183" t="s">
        <v>261</v>
      </c>
      <c r="B183" t="s">
        <v>79</v>
      </c>
      <c r="C183">
        <v>1160164</v>
      </c>
      <c r="D183">
        <v>60.19</v>
      </c>
      <c r="E183">
        <v>2.1</v>
      </c>
      <c r="F183">
        <v>7738.9750000000004</v>
      </c>
    </row>
    <row r="184" spans="1:6" x14ac:dyDescent="0.2">
      <c r="A184" t="s">
        <v>262</v>
      </c>
      <c r="B184" t="s">
        <v>77</v>
      </c>
      <c r="C184">
        <v>10099270</v>
      </c>
      <c r="D184">
        <v>82.8</v>
      </c>
      <c r="E184">
        <v>2.2200000000000002</v>
      </c>
      <c r="F184">
        <v>46949.282999999901</v>
      </c>
    </row>
    <row r="185" spans="1:6" x14ac:dyDescent="0.2">
      <c r="A185" t="s">
        <v>263</v>
      </c>
      <c r="B185" t="s">
        <v>77</v>
      </c>
      <c r="C185">
        <v>8654618</v>
      </c>
      <c r="D185">
        <v>83.78</v>
      </c>
      <c r="E185">
        <v>4.53</v>
      </c>
      <c r="F185">
        <v>57410.165999999997</v>
      </c>
    </row>
    <row r="186" spans="1:6" x14ac:dyDescent="0.2">
      <c r="A186" t="s">
        <v>264</v>
      </c>
      <c r="B186" t="s">
        <v>75</v>
      </c>
      <c r="C186">
        <v>17500657</v>
      </c>
      <c r="D186">
        <v>72.7</v>
      </c>
      <c r="E186">
        <v>1.5</v>
      </c>
    </row>
    <row r="187" spans="1:6" x14ac:dyDescent="0.2">
      <c r="A187" t="s">
        <v>265</v>
      </c>
      <c r="B187" t="s">
        <v>75</v>
      </c>
      <c r="C187">
        <v>23816775</v>
      </c>
      <c r="D187">
        <v>80.459999999999994</v>
      </c>
    </row>
    <row r="188" spans="1:6" x14ac:dyDescent="0.2">
      <c r="A188" t="s">
        <v>266</v>
      </c>
      <c r="B188" t="s">
        <v>75</v>
      </c>
      <c r="C188">
        <v>9537642</v>
      </c>
      <c r="D188">
        <v>71.099999999999994</v>
      </c>
      <c r="E188">
        <v>4.8</v>
      </c>
      <c r="F188">
        <v>2896.913</v>
      </c>
    </row>
    <row r="189" spans="1:6" x14ac:dyDescent="0.2">
      <c r="A189" t="s">
        <v>267</v>
      </c>
      <c r="B189" t="s">
        <v>79</v>
      </c>
      <c r="C189">
        <v>59734213</v>
      </c>
      <c r="D189">
        <v>65.459999999999994</v>
      </c>
      <c r="E189">
        <v>0.7</v>
      </c>
      <c r="F189">
        <v>2683.3040000000001</v>
      </c>
    </row>
    <row r="190" spans="1:6" x14ac:dyDescent="0.2">
      <c r="A190" t="s">
        <v>268</v>
      </c>
      <c r="B190" t="s">
        <v>75</v>
      </c>
      <c r="C190">
        <v>69799978</v>
      </c>
      <c r="D190">
        <v>77.150000000000006</v>
      </c>
      <c r="E190">
        <v>2.1</v>
      </c>
      <c r="F190">
        <v>16277.671</v>
      </c>
    </row>
    <row r="191" spans="1:6" x14ac:dyDescent="0.2">
      <c r="A191" t="s">
        <v>269</v>
      </c>
      <c r="B191" t="s">
        <v>75</v>
      </c>
      <c r="C191">
        <v>1318442</v>
      </c>
      <c r="D191">
        <v>69.5</v>
      </c>
      <c r="E191">
        <v>5.9</v>
      </c>
      <c r="F191">
        <v>6570.1019999999999</v>
      </c>
    </row>
    <row r="192" spans="1:6" x14ac:dyDescent="0.2">
      <c r="A192" t="s">
        <v>270</v>
      </c>
      <c r="B192" t="s">
        <v>79</v>
      </c>
      <c r="C192">
        <v>8278737</v>
      </c>
      <c r="D192">
        <v>61.04</v>
      </c>
      <c r="E192">
        <v>0.7</v>
      </c>
      <c r="F192">
        <v>1429.8129999999901</v>
      </c>
    </row>
    <row r="193" spans="1:6" x14ac:dyDescent="0.2">
      <c r="A193" t="s">
        <v>271</v>
      </c>
      <c r="B193" t="s">
        <v>83</v>
      </c>
      <c r="C193">
        <v>1399491</v>
      </c>
      <c r="D193">
        <v>73.510000000000005</v>
      </c>
      <c r="E193">
        <v>3</v>
      </c>
      <c r="F193">
        <v>28763.071</v>
      </c>
    </row>
    <row r="194" spans="1:6" x14ac:dyDescent="0.2">
      <c r="A194" t="s">
        <v>272</v>
      </c>
      <c r="B194" t="s">
        <v>79</v>
      </c>
      <c r="C194">
        <v>11818618</v>
      </c>
      <c r="D194">
        <v>76.7</v>
      </c>
      <c r="E194">
        <v>2.2999999999999998</v>
      </c>
      <c r="F194">
        <v>10849.2969999999</v>
      </c>
    </row>
    <row r="195" spans="1:6" x14ac:dyDescent="0.2">
      <c r="A195" t="s">
        <v>273</v>
      </c>
      <c r="B195" t="s">
        <v>75</v>
      </c>
      <c r="C195">
        <v>84339067</v>
      </c>
      <c r="D195">
        <v>77.69</v>
      </c>
      <c r="E195">
        <v>2.81</v>
      </c>
      <c r="F195">
        <v>25129.341</v>
      </c>
    </row>
    <row r="196" spans="1:6" x14ac:dyDescent="0.2">
      <c r="A196" t="s">
        <v>274</v>
      </c>
      <c r="B196" t="s">
        <v>83</v>
      </c>
      <c r="C196">
        <v>38718</v>
      </c>
      <c r="D196">
        <v>80.22</v>
      </c>
    </row>
    <row r="197" spans="1:6" x14ac:dyDescent="0.2">
      <c r="A197" t="s">
        <v>275</v>
      </c>
      <c r="B197" t="s">
        <v>79</v>
      </c>
      <c r="C197">
        <v>45741000</v>
      </c>
      <c r="D197">
        <v>63.37</v>
      </c>
      <c r="E197">
        <v>0.5</v>
      </c>
      <c r="F197">
        <v>1697.7070000000001</v>
      </c>
    </row>
    <row r="198" spans="1:6" x14ac:dyDescent="0.2">
      <c r="A198" t="s">
        <v>276</v>
      </c>
      <c r="B198" t="s">
        <v>77</v>
      </c>
      <c r="C198">
        <v>43733759</v>
      </c>
      <c r="D198">
        <v>72.06</v>
      </c>
      <c r="E198">
        <v>8.8000000000000007</v>
      </c>
      <c r="F198">
        <v>7894.393</v>
      </c>
    </row>
    <row r="199" spans="1:6" x14ac:dyDescent="0.2">
      <c r="A199" t="s">
        <v>277</v>
      </c>
      <c r="B199" t="s">
        <v>75</v>
      </c>
      <c r="C199">
        <v>9890400</v>
      </c>
      <c r="D199">
        <v>77.97</v>
      </c>
      <c r="E199">
        <v>1.2</v>
      </c>
      <c r="F199">
        <v>67293.482999999993</v>
      </c>
    </row>
    <row r="200" spans="1:6" x14ac:dyDescent="0.2">
      <c r="A200" t="s">
        <v>278</v>
      </c>
      <c r="B200" t="s">
        <v>77</v>
      </c>
      <c r="C200">
        <v>67886004</v>
      </c>
      <c r="D200">
        <v>81.319999999999993</v>
      </c>
      <c r="E200">
        <v>2.54</v>
      </c>
      <c r="F200">
        <v>39753.243999999999</v>
      </c>
    </row>
    <row r="201" spans="1:6" x14ac:dyDescent="0.2">
      <c r="A201" t="s">
        <v>279</v>
      </c>
      <c r="B201" t="s">
        <v>83</v>
      </c>
      <c r="C201">
        <v>331002647</v>
      </c>
      <c r="D201">
        <v>78.86</v>
      </c>
      <c r="E201">
        <v>2.77</v>
      </c>
      <c r="F201">
        <v>54225.445999999902</v>
      </c>
    </row>
    <row r="202" spans="1:6" x14ac:dyDescent="0.2">
      <c r="A202" t="s">
        <v>280</v>
      </c>
      <c r="B202" t="s">
        <v>83</v>
      </c>
      <c r="C202">
        <v>104423</v>
      </c>
      <c r="D202">
        <v>80.58</v>
      </c>
    </row>
    <row r="203" spans="1:6" x14ac:dyDescent="0.2">
      <c r="A203" t="s">
        <v>281</v>
      </c>
      <c r="B203" t="s">
        <v>86</v>
      </c>
      <c r="C203">
        <v>3473727</v>
      </c>
      <c r="D203">
        <v>77.91</v>
      </c>
      <c r="E203">
        <v>2.8</v>
      </c>
      <c r="F203">
        <v>20551.409</v>
      </c>
    </row>
    <row r="204" spans="1:6" x14ac:dyDescent="0.2">
      <c r="A204" t="s">
        <v>282</v>
      </c>
      <c r="B204" t="s">
        <v>75</v>
      </c>
      <c r="C204">
        <v>33469199</v>
      </c>
      <c r="D204">
        <v>71.72</v>
      </c>
      <c r="E204">
        <v>4</v>
      </c>
      <c r="F204">
        <v>6253.1040000000003</v>
      </c>
    </row>
    <row r="205" spans="1:6" x14ac:dyDescent="0.2">
      <c r="A205" t="s">
        <v>283</v>
      </c>
      <c r="B205" t="s">
        <v>77</v>
      </c>
      <c r="C205">
        <v>809</v>
      </c>
      <c r="D205">
        <v>75.12</v>
      </c>
    </row>
    <row r="206" spans="1:6" x14ac:dyDescent="0.2">
      <c r="A206" t="s">
        <v>284</v>
      </c>
      <c r="B206" t="s">
        <v>86</v>
      </c>
      <c r="C206">
        <v>28435943</v>
      </c>
      <c r="D206">
        <v>72.06</v>
      </c>
      <c r="E206">
        <v>0.8</v>
      </c>
      <c r="F206">
        <v>16745.022000000001</v>
      </c>
    </row>
    <row r="207" spans="1:6" x14ac:dyDescent="0.2">
      <c r="A207" t="s">
        <v>285</v>
      </c>
      <c r="B207" t="s">
        <v>75</v>
      </c>
      <c r="C207">
        <v>97338583</v>
      </c>
      <c r="D207">
        <v>75.400000000000006</v>
      </c>
      <c r="E207">
        <v>2.6</v>
      </c>
      <c r="F207">
        <v>6171.884</v>
      </c>
    </row>
    <row r="208" spans="1:6" x14ac:dyDescent="0.2">
      <c r="A208" t="s">
        <v>286</v>
      </c>
      <c r="B208" t="s">
        <v>79</v>
      </c>
      <c r="C208">
        <v>597330</v>
      </c>
      <c r="D208">
        <v>70.260000000000005</v>
      </c>
    </row>
    <row r="209" spans="1:6" x14ac:dyDescent="0.2">
      <c r="A209" t="s">
        <v>287</v>
      </c>
      <c r="B209" t="s">
        <v>75</v>
      </c>
      <c r="C209">
        <v>29825968</v>
      </c>
      <c r="D209">
        <v>66.12</v>
      </c>
      <c r="E209">
        <v>0.7</v>
      </c>
      <c r="F209">
        <v>1479.1469999999999</v>
      </c>
    </row>
    <row r="210" spans="1:6" x14ac:dyDescent="0.2">
      <c r="A210" t="s">
        <v>288</v>
      </c>
      <c r="B210" t="s">
        <v>79</v>
      </c>
      <c r="C210">
        <v>18383956</v>
      </c>
      <c r="D210">
        <v>63.89</v>
      </c>
      <c r="E210">
        <v>2</v>
      </c>
      <c r="F210">
        <v>3689.2509999999902</v>
      </c>
    </row>
    <row r="211" spans="1:6" x14ac:dyDescent="0.2">
      <c r="A211" t="s">
        <v>289</v>
      </c>
      <c r="B211" t="s">
        <v>79</v>
      </c>
      <c r="C211">
        <v>14862927</v>
      </c>
      <c r="D211">
        <v>61.49</v>
      </c>
      <c r="E211">
        <v>1.7</v>
      </c>
      <c r="F211">
        <v>1899.7750000000001</v>
      </c>
    </row>
    <row r="212" spans="1:6" x14ac:dyDescent="0.2">
      <c r="A212" t="s">
        <v>290</v>
      </c>
      <c r="C212">
        <v>7794798729</v>
      </c>
      <c r="D212">
        <v>72.58</v>
      </c>
      <c r="E212">
        <v>2.7050000000000001</v>
      </c>
      <c r="F212">
        <v>15469.207</v>
      </c>
    </row>
    <row r="213" spans="1:6" x14ac:dyDescent="0.2">
      <c r="A213" t="s">
        <v>291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33143-BAF8-0740-86BD-A3A011301499}">
  <dimension ref="A1:E53"/>
  <sheetViews>
    <sheetView tabSelected="1" topLeftCell="A33" zoomScale="156" workbookViewId="0">
      <selection activeCell="C64" sqref="C64"/>
    </sheetView>
  </sheetViews>
  <sheetFormatPr baseColWidth="10" defaultRowHeight="16" x14ac:dyDescent="0.2"/>
  <cols>
    <col min="1" max="1" width="11.5" customWidth="1"/>
    <col min="2" max="2" width="13.83203125" bestFit="1" customWidth="1"/>
    <col min="3" max="3" width="13.33203125" bestFit="1" customWidth="1"/>
    <col min="4" max="4" width="14.1640625" customWidth="1"/>
    <col min="5" max="5" width="13" bestFit="1" customWidth="1"/>
    <col min="6" max="6" width="12.1640625" bestFit="1" customWidth="1"/>
  </cols>
  <sheetData>
    <row r="1" spans="1:3" x14ac:dyDescent="0.2">
      <c r="A1" t="s">
        <v>49</v>
      </c>
      <c r="B1" t="s">
        <v>309</v>
      </c>
      <c r="C1" t="s">
        <v>310</v>
      </c>
    </row>
    <row r="2" spans="1:3" x14ac:dyDescent="0.2">
      <c r="A2">
        <v>2000</v>
      </c>
      <c r="B2">
        <v>0.89500000000000002</v>
      </c>
      <c r="C2">
        <v>0.96199999999999997</v>
      </c>
    </row>
    <row r="3" spans="1:3" x14ac:dyDescent="0.2">
      <c r="A3">
        <v>2001</v>
      </c>
      <c r="B3">
        <v>0.91</v>
      </c>
      <c r="C3">
        <v>0.94099999999999995</v>
      </c>
    </row>
    <row r="4" spans="1:3" x14ac:dyDescent="0.2">
      <c r="A4">
        <v>2002</v>
      </c>
      <c r="B4">
        <v>0.91900000000000004</v>
      </c>
      <c r="C4">
        <v>0.93</v>
      </c>
    </row>
    <row r="5" spans="1:3" x14ac:dyDescent="0.2">
      <c r="A5">
        <v>2003</v>
      </c>
      <c r="B5">
        <v>0.92600000000000005</v>
      </c>
      <c r="C5">
        <v>0.93200000000000005</v>
      </c>
    </row>
    <row r="6" spans="1:3" x14ac:dyDescent="0.2">
      <c r="A6">
        <v>2004</v>
      </c>
      <c r="B6">
        <v>0.92900000000000005</v>
      </c>
      <c r="C6">
        <v>0.91800000000000004</v>
      </c>
    </row>
    <row r="7" spans="1:3" x14ac:dyDescent="0.2">
      <c r="A7">
        <v>2005</v>
      </c>
      <c r="B7">
        <v>0.93100000000000005</v>
      </c>
      <c r="C7">
        <v>0.90800000000000003</v>
      </c>
    </row>
    <row r="8" spans="1:3" x14ac:dyDescent="0.2">
      <c r="A8">
        <v>2006</v>
      </c>
      <c r="B8">
        <v>0.93400000000000005</v>
      </c>
      <c r="C8">
        <v>0.90700000000000003</v>
      </c>
    </row>
    <row r="9" spans="1:3" x14ac:dyDescent="0.2">
      <c r="A9">
        <v>2007</v>
      </c>
      <c r="B9">
        <v>0.93600000000000005</v>
      </c>
      <c r="C9">
        <v>0.90400000000000003</v>
      </c>
    </row>
    <row r="10" spans="1:3" x14ac:dyDescent="0.2">
      <c r="A10">
        <v>2008</v>
      </c>
      <c r="B10">
        <v>0.93700000000000006</v>
      </c>
      <c r="C10">
        <v>0.90100000000000002</v>
      </c>
    </row>
    <row r="11" spans="1:3" x14ac:dyDescent="0.2">
      <c r="A11">
        <v>2009</v>
      </c>
      <c r="B11">
        <v>0.9375</v>
      </c>
      <c r="C11">
        <v>0.89800000000000002</v>
      </c>
    </row>
    <row r="12" spans="1:3" x14ac:dyDescent="0.2">
      <c r="A12">
        <v>2010</v>
      </c>
      <c r="B12">
        <v>0.93720000000000003</v>
      </c>
      <c r="C12">
        <v>0.9</v>
      </c>
    </row>
    <row r="13" spans="1:3" x14ac:dyDescent="0.2">
      <c r="A13">
        <v>2011</v>
      </c>
      <c r="B13">
        <v>0.93899999999999995</v>
      </c>
      <c r="C13">
        <v>0.89600000000000002</v>
      </c>
    </row>
    <row r="18" spans="1:5" x14ac:dyDescent="0.2">
      <c r="A18" s="1" t="s">
        <v>315</v>
      </c>
      <c r="B18" s="1" t="s">
        <v>316</v>
      </c>
      <c r="C18" s="1" t="s">
        <v>317</v>
      </c>
      <c r="D18" s="1" t="s">
        <v>318</v>
      </c>
      <c r="E18" s="1" t="s">
        <v>311</v>
      </c>
    </row>
    <row r="19" spans="1:5" x14ac:dyDescent="0.2">
      <c r="A19">
        <v>5.0999999999999996</v>
      </c>
      <c r="B19">
        <v>3.5</v>
      </c>
      <c r="C19">
        <v>1.4</v>
      </c>
      <c r="D19">
        <v>0.2</v>
      </c>
      <c r="E19" t="s">
        <v>312</v>
      </c>
    </row>
    <row r="20" spans="1:5" x14ac:dyDescent="0.2">
      <c r="A20">
        <v>4.9000000000000004</v>
      </c>
      <c r="B20">
        <v>3</v>
      </c>
      <c r="C20">
        <v>1.4</v>
      </c>
      <c r="D20">
        <v>0.2</v>
      </c>
      <c r="E20" t="s">
        <v>312</v>
      </c>
    </row>
    <row r="21" spans="1:5" x14ac:dyDescent="0.2">
      <c r="A21">
        <v>4.7</v>
      </c>
      <c r="B21">
        <v>3.2</v>
      </c>
      <c r="C21">
        <v>1.3</v>
      </c>
      <c r="D21">
        <v>0.2</v>
      </c>
      <c r="E21" t="s">
        <v>312</v>
      </c>
    </row>
    <row r="22" spans="1:5" x14ac:dyDescent="0.2">
      <c r="A22">
        <v>4.5999999999999996</v>
      </c>
      <c r="B22">
        <v>3.1</v>
      </c>
      <c r="C22">
        <v>1.5</v>
      </c>
      <c r="D22">
        <v>0.2</v>
      </c>
      <c r="E22" t="s">
        <v>312</v>
      </c>
    </row>
    <row r="23" spans="1:5" x14ac:dyDescent="0.2">
      <c r="A23">
        <v>5</v>
      </c>
      <c r="B23">
        <v>3.6</v>
      </c>
      <c r="C23">
        <v>1.4</v>
      </c>
      <c r="D23">
        <v>0.2</v>
      </c>
      <c r="E23" t="s">
        <v>312</v>
      </c>
    </row>
    <row r="24" spans="1:5" x14ac:dyDescent="0.2">
      <c r="A24">
        <v>5.4</v>
      </c>
      <c r="B24">
        <v>3.9</v>
      </c>
      <c r="C24">
        <v>1.7</v>
      </c>
      <c r="D24">
        <v>0.4</v>
      </c>
      <c r="E24" t="s">
        <v>312</v>
      </c>
    </row>
    <row r="25" spans="1:5" x14ac:dyDescent="0.2">
      <c r="A25">
        <v>4.5999999999999996</v>
      </c>
      <c r="B25">
        <v>3.4</v>
      </c>
      <c r="C25">
        <v>1.4</v>
      </c>
      <c r="D25">
        <v>0.3</v>
      </c>
      <c r="E25" t="s">
        <v>312</v>
      </c>
    </row>
    <row r="26" spans="1:5" x14ac:dyDescent="0.2">
      <c r="A26">
        <v>7</v>
      </c>
      <c r="B26">
        <v>3.2</v>
      </c>
      <c r="C26">
        <v>4.7</v>
      </c>
      <c r="D26">
        <v>1.4</v>
      </c>
      <c r="E26" t="s">
        <v>313</v>
      </c>
    </row>
    <row r="27" spans="1:5" x14ac:dyDescent="0.2">
      <c r="A27">
        <v>6.4</v>
      </c>
      <c r="B27">
        <v>3.2</v>
      </c>
      <c r="C27">
        <v>4.5</v>
      </c>
      <c r="D27">
        <v>1.5</v>
      </c>
      <c r="E27" t="s">
        <v>313</v>
      </c>
    </row>
    <row r="28" spans="1:5" x14ac:dyDescent="0.2">
      <c r="A28">
        <v>6.9</v>
      </c>
      <c r="B28">
        <v>3.1</v>
      </c>
      <c r="C28">
        <v>4.9000000000000004</v>
      </c>
      <c r="D28">
        <v>1.5</v>
      </c>
      <c r="E28" t="s">
        <v>313</v>
      </c>
    </row>
    <row r="29" spans="1:5" x14ac:dyDescent="0.2">
      <c r="A29">
        <v>5.5</v>
      </c>
      <c r="B29">
        <v>2.2999999999999998</v>
      </c>
      <c r="C29">
        <v>4</v>
      </c>
      <c r="D29">
        <v>1.3</v>
      </c>
      <c r="E29" t="s">
        <v>313</v>
      </c>
    </row>
    <row r="30" spans="1:5" x14ac:dyDescent="0.2">
      <c r="A30">
        <v>6.5</v>
      </c>
      <c r="B30">
        <v>2.8</v>
      </c>
      <c r="C30">
        <v>4.5999999999999996</v>
      </c>
      <c r="D30">
        <v>1.5</v>
      </c>
      <c r="E30" t="s">
        <v>313</v>
      </c>
    </row>
    <row r="31" spans="1:5" x14ac:dyDescent="0.2">
      <c r="A31">
        <v>5.7</v>
      </c>
      <c r="B31">
        <v>2.8</v>
      </c>
      <c r="C31">
        <v>4.5</v>
      </c>
      <c r="D31">
        <v>1.3</v>
      </c>
      <c r="E31" t="s">
        <v>313</v>
      </c>
    </row>
    <row r="32" spans="1:5" x14ac:dyDescent="0.2">
      <c r="A32">
        <v>6.3</v>
      </c>
      <c r="B32">
        <v>3.3</v>
      </c>
      <c r="C32">
        <v>4.7</v>
      </c>
      <c r="D32">
        <v>1.6</v>
      </c>
      <c r="E32" t="s">
        <v>313</v>
      </c>
    </row>
    <row r="33" spans="1:5" x14ac:dyDescent="0.2">
      <c r="A33">
        <v>4.9000000000000004</v>
      </c>
      <c r="B33">
        <v>2.4</v>
      </c>
      <c r="C33">
        <v>3.3</v>
      </c>
      <c r="D33">
        <v>1</v>
      </c>
      <c r="E33" t="s">
        <v>313</v>
      </c>
    </row>
    <row r="34" spans="1:5" x14ac:dyDescent="0.2">
      <c r="A34">
        <v>5.8</v>
      </c>
      <c r="B34">
        <v>2.7</v>
      </c>
      <c r="C34">
        <v>5.0999999999999996</v>
      </c>
      <c r="D34">
        <v>1.9</v>
      </c>
      <c r="E34" t="s">
        <v>314</v>
      </c>
    </row>
    <row r="35" spans="1:5" x14ac:dyDescent="0.2">
      <c r="A35">
        <v>7.1</v>
      </c>
      <c r="B35">
        <v>3</v>
      </c>
      <c r="C35">
        <v>5.9</v>
      </c>
      <c r="D35">
        <v>2.1</v>
      </c>
      <c r="E35" t="s">
        <v>314</v>
      </c>
    </row>
    <row r="36" spans="1:5" x14ac:dyDescent="0.2">
      <c r="A36">
        <v>6.3</v>
      </c>
      <c r="B36">
        <v>2.9</v>
      </c>
      <c r="C36">
        <v>5.6</v>
      </c>
      <c r="D36">
        <v>1.8</v>
      </c>
      <c r="E36" t="s">
        <v>314</v>
      </c>
    </row>
    <row r="37" spans="1:5" x14ac:dyDescent="0.2">
      <c r="A37">
        <v>6.5</v>
      </c>
      <c r="B37">
        <v>3</v>
      </c>
      <c r="C37">
        <v>5.8</v>
      </c>
      <c r="D37">
        <v>2.2000000000000002</v>
      </c>
      <c r="E37" t="s">
        <v>314</v>
      </c>
    </row>
    <row r="38" spans="1:5" x14ac:dyDescent="0.2">
      <c r="A38">
        <v>7.6</v>
      </c>
      <c r="B38">
        <v>3</v>
      </c>
      <c r="C38">
        <v>6.6</v>
      </c>
      <c r="D38">
        <v>2.1</v>
      </c>
      <c r="E38" t="s">
        <v>314</v>
      </c>
    </row>
    <row r="39" spans="1:5" x14ac:dyDescent="0.2">
      <c r="A39">
        <v>4.9000000000000004</v>
      </c>
      <c r="B39">
        <v>2.5</v>
      </c>
      <c r="C39">
        <v>4.5</v>
      </c>
      <c r="D39">
        <v>1.7</v>
      </c>
      <c r="E39" t="s">
        <v>314</v>
      </c>
    </row>
    <row r="40" spans="1:5" x14ac:dyDescent="0.2">
      <c r="A40">
        <v>7.3</v>
      </c>
      <c r="B40">
        <v>2.9</v>
      </c>
      <c r="C40">
        <v>6.3</v>
      </c>
      <c r="D40">
        <v>1.8</v>
      </c>
      <c r="E40" t="s">
        <v>314</v>
      </c>
    </row>
    <row r="41" spans="1:5" x14ac:dyDescent="0.2">
      <c r="A41">
        <v>6.7</v>
      </c>
      <c r="B41">
        <v>2.5</v>
      </c>
      <c r="C41">
        <v>5.8</v>
      </c>
      <c r="D41">
        <v>1.8</v>
      </c>
      <c r="E41" t="s">
        <v>314</v>
      </c>
    </row>
    <row r="50" spans="1:4" x14ac:dyDescent="0.2">
      <c r="A50" s="1" t="s">
        <v>319</v>
      </c>
      <c r="B50" s="1" t="s">
        <v>320</v>
      </c>
      <c r="C50" s="1" t="s">
        <v>321</v>
      </c>
      <c r="D50" s="1" t="s">
        <v>325</v>
      </c>
    </row>
    <row r="51" spans="1:4" x14ac:dyDescent="0.2">
      <c r="A51" t="s">
        <v>322</v>
      </c>
      <c r="B51" s="26">
        <v>22150</v>
      </c>
      <c r="C51">
        <v>43690</v>
      </c>
      <c r="D51">
        <v>57890</v>
      </c>
    </row>
    <row r="52" spans="1:4" x14ac:dyDescent="0.2">
      <c r="A52" t="s">
        <v>323</v>
      </c>
      <c r="B52">
        <v>137500</v>
      </c>
      <c r="C52">
        <v>151200</v>
      </c>
      <c r="D52">
        <v>43500</v>
      </c>
    </row>
    <row r="53" spans="1:4" x14ac:dyDescent="0.2">
      <c r="A53" t="s">
        <v>324</v>
      </c>
      <c r="B53">
        <v>17540</v>
      </c>
      <c r="C53">
        <v>14550</v>
      </c>
      <c r="D53">
        <v>27890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F6EB5-CE51-2641-ADFB-99F34FE1EB5D}">
  <dimension ref="A1:E6"/>
  <sheetViews>
    <sheetView zoomScale="206" workbookViewId="0">
      <selection activeCell="E3" sqref="E3"/>
    </sheetView>
  </sheetViews>
  <sheetFormatPr baseColWidth="10" defaultRowHeight="16" x14ac:dyDescent="0.2"/>
  <sheetData>
    <row r="1" spans="1:5" x14ac:dyDescent="0.2">
      <c r="A1" s="1" t="s">
        <v>297</v>
      </c>
      <c r="E1" t="s">
        <v>303</v>
      </c>
    </row>
    <row r="2" spans="1:5" x14ac:dyDescent="0.2">
      <c r="A2" t="s">
        <v>298</v>
      </c>
      <c r="E2" t="s">
        <v>300</v>
      </c>
    </row>
    <row r="3" spans="1:5" x14ac:dyDescent="0.2">
      <c r="A3" t="s">
        <v>299</v>
      </c>
      <c r="E3" t="s">
        <v>299</v>
      </c>
    </row>
    <row r="4" spans="1:5" x14ac:dyDescent="0.2">
      <c r="A4" t="s">
        <v>300</v>
      </c>
    </row>
    <row r="5" spans="1:5" x14ac:dyDescent="0.2">
      <c r="A5" t="s">
        <v>301</v>
      </c>
    </row>
    <row r="6" spans="1:5" x14ac:dyDescent="0.2">
      <c r="A6" t="s">
        <v>302</v>
      </c>
    </row>
  </sheetData>
  <dataValidations count="1">
    <dataValidation type="list" allowBlank="1" showInputMessage="1" showErrorMessage="1" sqref="E2:E10" xr:uid="{04860DC6-4C13-A740-8798-940F3199B834}">
      <formula1>$A$2:$A$6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3</vt:i4>
      </vt:variant>
    </vt:vector>
  </HeadingPairs>
  <TitlesOfParts>
    <vt:vector size="18" baseType="lpstr">
      <vt:lpstr>Introduction</vt:lpstr>
      <vt:lpstr>Strings</vt:lpstr>
      <vt:lpstr>Formatting</vt:lpstr>
      <vt:lpstr>Arithmetic</vt:lpstr>
      <vt:lpstr>Fill Handle</vt:lpstr>
      <vt:lpstr>References</vt:lpstr>
      <vt:lpstr>Autofill</vt:lpstr>
      <vt:lpstr>Functions</vt:lpstr>
      <vt:lpstr>Date Functions</vt:lpstr>
      <vt:lpstr>VLOOKUP</vt:lpstr>
      <vt:lpstr>Covid Pivot Table</vt:lpstr>
      <vt:lpstr>Italy Covid Data</vt:lpstr>
      <vt:lpstr>Countries</vt:lpstr>
      <vt:lpstr>Charts</vt:lpstr>
      <vt:lpstr>Data Validation</vt:lpstr>
      <vt:lpstr>Charts!Iris</vt:lpstr>
      <vt:lpstr>'Italy Covid Data'!italy_covid_daywise</vt:lpstr>
      <vt:lpstr>Countries!locations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2021-07-04T05:31:38Z</dcterms:created>
  <dcterms:modified xsi:type="dcterms:W3CDTF">2021-07-04T12:15:54Z</dcterms:modified>
</cp:coreProperties>
</file>